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3c5620835854f74" /></Relationships>
</file>

<file path=xl/workbook.xml><?xml version="1.0" encoding="utf-8"?>
<x:workbook xmlns:x="http://schemas.openxmlformats.org/spreadsheetml/2006/main">
  <x:sheets>
    <x:sheet xmlns:r="http://schemas.openxmlformats.org/officeDocument/2006/relationships" name="Legend" sheetId="1" r:id="R97a14dc5080f4a9a"/>
    <x:sheet xmlns:r="http://schemas.openxmlformats.org/officeDocument/2006/relationships" name="Rule Register" sheetId="2" r:id="Re868d15dd471411a"/>
    <x:sheet xmlns:r="http://schemas.openxmlformats.org/officeDocument/2006/relationships" name="Sheet1" sheetId="3" r:id="R9eaacd6ed0e54881"/>
    <x:sheet xmlns:r="http://schemas.openxmlformats.org/officeDocument/2006/relationships" name="Formula Technical Reference" sheetId="4" r:id="Ra2f4eeb3aaf54b1d"/>
    <x:sheet xmlns:r="http://schemas.openxmlformats.org/officeDocument/2006/relationships" name="New Rule Updates" sheetId="5" r:id="R8a32dc1a02d948c3"/>
    <x:sheet xmlns:r="http://schemas.openxmlformats.org/officeDocument/2006/relationships" name="Weight Register" sheetId="6" r:id="Ra8b85a8dcd91422a"/>
    <x:sheet xmlns:r="http://schemas.openxmlformats.org/officeDocument/2006/relationships" name="FY25-26 State Totals" sheetId="7" r:id="R0f59658705ac4ad0"/>
    <x:sheet xmlns:r="http://schemas.openxmlformats.org/officeDocument/2006/relationships" name="Retired Rules (pre-2026-07-23)" sheetId="8" r:id="R21994ae4df174f38"/>
  </x:sheets>
</x:workbook>
</file>

<file path=xl/sharedStrings.xml><?xml version="1.0" encoding="utf-8"?>
<x:sst xmlns:x="http://schemas.openxmlformats.org/spreadsheetml/2006/main"/>
</file>

<file path=xl/styles.xml><?xml version="1.0" encoding="utf-8"?>
<x:styleSheet xmlns:x="http://schemas.openxmlformats.org/spreadsheetml/2006/main">
  <x:numFmts count="4">
    <x:numFmt numFmtId="164" formatCode="0.000000"/>
    <x:numFmt numFmtId="165" formatCode="\$#,##0.00"/>
    <x:numFmt numFmtId="166" formatCode="0.0000"/>
    <x:numFmt numFmtId="167" formatCode="yyyy-mm-dd"/>
  </x:numFmts>
  <x:fonts count="26">
    <x:font>
      <x:sz val="11"/>
      <x:color theme="1"/>
      <x:name val="Aptos Narrow"/>
    </x:font>
    <x:font>
      <x:b/>
      <x:sz val="14"/>
      <x:color rgb="FF365F91"/>
      <x:name val="Calibri"/>
    </x:font>
    <x:font>
      <x:sz val="11"/>
      <x:color theme="1"/>
      <x:name val="Cambria"/>
    </x:font>
    <x:font>
      <x:b/>
      <x:sz val="11"/>
      <x:color theme="1"/>
      <x:name val="Cambria"/>
    </x:font>
    <x:font>
      <x:sz val="11"/>
      <x:color theme="10"/>
      <x:name val="Aptos Narrow"/>
    </x:font>
    <x:font>
      <x:b/>
      <x:sz val="14"/>
      <x:color theme="1"/>
      <x:name val="Aptos Narrow"/>
    </x:font>
    <x:font>
      <x:sz val="14"/>
      <x:color theme="1"/>
      <x:name val="Aptos Narrow"/>
    </x:font>
    <x:font>
      <x:sz val="14"/>
      <x:color theme="10"/>
      <x:name val="Aptos Narrow"/>
    </x:font>
    <x:font>
      <x:b/>
      <x:sz val="10"/>
      <x:color rgb="FFFFFFFF"/>
      <x:name val="Arial"/>
    </x:font>
    <x:font>
      <x:sz val="10"/>
      <x:name val="Arial"/>
    </x:font>
    <x:font>
      <x:b/>
      <x:sz val="13"/>
      <x:name val="Arial"/>
    </x:font>
    <x:font>
      <x:b/>
      <x:sz val="10"/>
      <x:color rgb="FF9A6400"/>
      <x:name val="Arial"/>
    </x:font>
    <x:font>
      <x:b/>
      <x:sz val="11"/>
      <x:name val="Arial"/>
    </x:font>
    <x:font>
      <x:b/>
      <x:sz val="10"/>
      <x:name val="Arial"/>
    </x:font>
    <x:font>
      <x:b/>
      <x:sz val="16"/>
      <x:color rgb="FFFFFFFF"/>
      <x:name val="Aptos Narrow"/>
    </x:font>
    <x:font>
      <x:i/>
      <x:sz val="11"/>
      <x:color rgb="FF1F1F1F"/>
      <x:name val="Aptos Narrow"/>
    </x:font>
    <x:font>
      <x:b/>
      <x:sz val="11"/>
      <x:color rgb="FFFFFFFF"/>
      <x:name val="Aptos Narrow"/>
    </x:font>
    <x:font>
      <x:sz val="11"/>
      <x:color rgb="FF7F6000"/>
      <x:name val="Aptos Narrow"/>
    </x:font>
    <x:font>
      <x:sz val="11"/>
      <x:color theme="1"/>
      <x:name val="Aptos Narrow"/>
    </x:font>
    <x:font>
      <x:b/>
      <x:sz val="11"/>
      <x:color rgb="FF375623"/>
      <x:name val="Aptos Narrow"/>
    </x:font>
    <x:font>
      <x:b/>
      <x:sz val="11"/>
      <x:color rgb="FF1F4E78"/>
      <x:name val="Aptos Narrow"/>
    </x:font>
    <x:font>
      <x:i/>
      <x:sz val="11"/>
      <x:color rgb="FF595959"/>
      <x:name val="Aptos Narrow"/>
    </x:font>
    <x:font>
      <x:i/>
      <x:sz val="9"/>
    </x:font>
    <x:font>
      <x:b/>
    </x:font>
    <x:font>
      <x:b/>
      <x:i/>
      <x:sz val="9"/>
    </x:font>
    <x:font>
      <x:i/>
    </x:font>
  </x:fonts>
  <x:fills count="21">
    <x:fill>
      <x:patternFill patternType="none"/>
    </x:fill>
    <x:fill>
      <x:patternFill patternType="gray125"/>
    </x:fill>
    <x:fill>
      <x:patternFill patternType="solid">
        <x:fgColor rgb="FFFFFF00"/>
      </x:patternFill>
    </x:fill>
    <x:fill>
      <x:patternFill patternType="solid">
        <x:fgColor rgb="FF12233F"/>
      </x:patternFill>
    </x:fill>
    <x:fill>
      <x:patternFill patternType="solid">
        <x:fgColor rgb="FFFFFF00"/>
      </x:patternFill>
    </x:fill>
    <x:fill>
      <x:patternFill patternType="solid">
        <x:fgColor rgb="FFFBE6E7"/>
      </x:patternFill>
    </x:fill>
    <x:fill>
      <x:patternFill patternType="solid">
        <x:fgColor rgb="FFEEEEEE"/>
      </x:patternFill>
    </x:fill>
    <x:fill>
      <x:patternFill patternType="solid">
        <x:fgColor rgb="FF1F4E78"/>
      </x:patternFill>
    </x:fill>
    <x:fill>
      <x:patternFill patternType="solid">
        <x:fgColor rgb="FFD9EAF7"/>
      </x:patternFill>
    </x:fill>
    <x:fill>
      <x:patternFill patternType="solid">
        <x:fgColor rgb="FF5B9BD5"/>
      </x:patternFill>
    </x:fill>
    <x:fill>
      <x:patternFill patternType="solid">
        <x:fgColor rgb="FFFFF2CC"/>
      </x:patternFill>
    </x:fill>
    <x:fill>
      <x:patternFill patternType="solid">
        <x:fgColor rgb="FF1F4E78"/>
      </x:patternFill>
    </x:fill>
    <x:fill>
      <x:patternFill patternType="solid">
        <x:fgColor rgb="FFD9EAF7"/>
      </x:patternFill>
    </x:fill>
    <x:fill>
      <x:patternFill patternType="solid">
        <x:fgColor rgb="FF4472C4"/>
      </x:patternFill>
    </x:fill>
    <x:fill>
      <x:patternFill patternType="solid">
        <x:fgColor rgb="FFE2F0D9"/>
      </x:patternFill>
    </x:fill>
    <x:fill>
      <x:patternFill patternType="solid">
        <x:fgColor rgb="FFFFFFFF"/>
      </x:patternFill>
    </x:fill>
    <x:fill>
      <x:patternFill patternType="solid">
        <x:fgColor rgb="FF1F4E78"/>
      </x:patternFill>
    </x:fill>
    <x:fill>
      <x:patternFill patternType="solid">
        <x:fgColor rgb="FFD9EAF7"/>
      </x:patternFill>
    </x:fill>
    <x:fill>
      <x:patternFill patternType="solid">
        <x:fgColor rgb="FF4472C4"/>
      </x:patternFill>
    </x:fill>
    <x:fill>
      <x:patternFill patternType="solid">
        <x:fgColor rgb="FFFFF2CC"/>
      </x:patternFill>
    </x:fill>
    <x:fill>
      <x:patternFill patternType="solid">
        <x:fgColor rgb="FFF2F2F2"/>
      </x:patternFill>
    </x:fill>
  </x:fills>
  <x:borders count="22">
    <x:border/>
    <x:border>
      <x:left style="thin">
        <x:color indexed="64"/>
      </x:left>
      <x:right style="thin">
        <x:color indexed="64"/>
      </x:right>
      <x:top style="thin">
        <x:color indexed="64"/>
      </x:top>
      <x:bottom style="thin">
        <x:color indexed="64"/>
      </x:bottom>
    </x:border>
    <x:border>
      <x:left style="thin">
        <x:color indexed="64"/>
      </x:left>
      <x:bottom style="thin">
        <x:color indexed="64"/>
      </x:bottom>
    </x:border>
    <x:border>
      <x:bottom style="thin">
        <x:color indexed="64"/>
      </x:bottom>
    </x:border>
    <x:border>
      <x:top style="thin">
        <x:color indexed="64"/>
      </x:top>
      <x:bottom style="thin">
        <x:color indexed="64"/>
      </x:bottom>
    </x:border>
    <x:border>
      <x:right style="thin">
        <x:color indexed="64"/>
      </x:right>
      <x:top style="thin">
        <x:color indexed="64"/>
      </x:top>
      <x:bottom style="thin">
        <x:color indexed="64"/>
      </x:bottom>
    </x:border>
    <x:border>
      <x:left style="thin">
        <x:color indexed="64"/>
      </x:left>
      <x:right style="thin">
        <x:color indexed="64"/>
      </x:right>
    </x:border>
    <x:border>
      <x:left style="thin">
        <x:color indexed="64"/>
      </x:left>
      <x:right style="thin">
        <x:color indexed="64"/>
      </x:right>
      <x:bottom style="thin">
        <x:color indexed="64"/>
      </x:bottom>
    </x:border>
    <x:border>
      <x:left style="thin">
        <x:color rgb="FFDDDDDD"/>
      </x:left>
      <x:right style="thin">
        <x:color rgb="FFDDDDDD"/>
      </x:right>
      <x:top style="thin">
        <x:color rgb="FFDDDDDD"/>
      </x:top>
      <x:bottom style="thin">
        <x:color rgb="FFDDDDDD"/>
      </x:bottom>
    </x:border>
    <x:border>
      <x:left style="thin">
        <x:color rgb="FFA6A6A6"/>
      </x:left>
      <x:top style="thin">
        <x:color rgb="FFA6A6A6"/>
      </x:top>
      <x:bottom style="thin">
        <x:color rgb="FFA6A6A6"/>
      </x:bottom>
    </x:border>
    <x:border>
      <x:top style="thin">
        <x:color rgb="FFA6A6A6"/>
      </x:top>
      <x:bottom style="thin">
        <x:color rgb="FFA6A6A6"/>
      </x:bottom>
    </x:border>
    <x:border>
      <x:right style="thin">
        <x:color rgb="FFA6A6A6"/>
      </x:right>
      <x:top style="thin">
        <x:color rgb="FFA6A6A6"/>
      </x:top>
      <x:bottom style="thin">
        <x:color rgb="FFA6A6A6"/>
      </x:bottom>
    </x:border>
    <x:border>
      <x:bottom style="thin">
        <x:color rgb="FFD9E2F3"/>
      </x:bottom>
    </x:border>
    <x:border>
      <x:top style="thin">
        <x:color rgb="FFD9E2F3"/>
      </x:top>
      <x:bottom style="thin">
        <x:color rgb="FFD9E2F3"/>
      </x:bottom>
    </x:border>
    <x:border>
      <x:top style="thin">
        <x:color rgb="FFD9E2F3"/>
      </x:top>
      <x:bottom style="thin">
        <x:color rgb="FFA6A6A6"/>
      </x:bottom>
    </x:border>
    <x:border>
      <x:left style="thin">
        <x:color indexed="64"/>
      </x:left>
      <x:right style="thin">
        <x:color indexed="64"/>
      </x:right>
      <x:top style="thin">
        <x:color indexed="64"/>
      </x:top>
    </x:border>
    <x:border>
      <x:bottom style="medium">
        <x:color rgb="FF1F4E78"/>
      </x:bottom>
    </x:border>
    <x:border>
      <x:top style="thin">
        <x:color rgb="FFD9E2F3"/>
      </x:top>
    </x:border>
    <x:border>
      <x:top style="thin">
        <x:color rgb="FFA6A6A6"/>
      </x:top>
      <x:bottom style="thin">
        <x:color rgb="FFD9E2F3"/>
      </x:bottom>
    </x:border>
    <x:border>
      <x:top style="thin">
        <x:color indexed="64"/>
      </x:top>
    </x:border>
    <x:border>
      <x:right style="thin">
        <x:color indexed="64"/>
      </x:right>
      <x:top style="thin">
        <x:color indexed="64"/>
      </x:top>
    </x:border>
    <x:border>
      <x:left style="thin">
        <x:color indexed="64"/>
      </x:left>
    </x:border>
  </x:borders>
  <x:cellStyleXfs count="2">
    <x:xf numFmtId="0" fontId="0" fillId="0" borderId="0"/>
    <x:xf numFmtId="0" fontId="4" fillId="0" borderId="0"/>
  </x:cellStyleXfs>
  <x:cellXfs count="111">
    <x:xf numFmtId="0" fontId="0" fillId="0" borderId="0" xfId="0"/>
    <x:xf numFmtId="0" fontId="0" fillId="0" borderId="1" xfId="0" applyAlignment="1">
      <x:alignment wrapText="1"/>
    </x:xf>
    <x:xf numFmtId="0" fontId="2" fillId="0" borderId="1" xfId="0" applyAlignment="1">
      <x:alignment vertical="center" wrapText="1"/>
    </x:xf>
    <x:xf numFmtId="0" fontId="0" fillId="0" borderId="1" xfId="0" applyAlignment="1">
      <x:alignment vertical="center" wrapText="1"/>
    </x:xf>
    <x:xf numFmtId="0" fontId="0" fillId="0" borderId="1" xfId="0" applyAlignment="1">
      <x:alignment horizontal="center" vertical="center" wrapText="1"/>
    </x:xf>
    <x:xf numFmtId="0" fontId="0" fillId="0" borderId="1" xfId="0" applyAlignment="1">
      <x:alignment horizontal="left" vertical="center" wrapText="1"/>
    </x:xf>
    <x:xf numFmtId="0" fontId="3" fillId="0" borderId="1" xfId="0" applyAlignment="1">
      <x:alignment horizontal="center" vertical="center" wrapText="1"/>
    </x:xf>
    <x:xf numFmtId="0" fontId="2" fillId="0" borderId="1" xfId="0" applyAlignment="1">
      <x:alignment horizontal="center" vertical="center" wrapText="1"/>
    </x:xf>
    <x:xf numFmtId="0" fontId="2" fillId="2" borderId="1" xfId="0" applyAlignment="1">
      <x:alignment vertical="center" wrapText="1"/>
    </x:xf>
    <x:xf numFmtId="0" fontId="0" fillId="2" borderId="1" xfId="0" applyAlignment="1">
      <x:alignment horizontal="center" vertical="center" wrapText="1"/>
    </x:xf>
    <x:xf numFmtId="0" fontId="0" fillId="2" borderId="1" xfId="0" applyAlignment="1">
      <x:alignment wrapText="1"/>
    </x:xf>
    <x:xf numFmtId="0" fontId="0" fillId="0" borderId="0" xfId="0" applyAlignment="1">
      <x:alignment wrapText="1"/>
    </x:xf>
    <x:xf numFmtId="0" fontId="0" fillId="0" borderId="0" xfId="0" applyAlignment="1">
      <x:alignment vertical="center" wrapText="1"/>
    </x:xf>
    <x:xf numFmtId="0" fontId="0" fillId="2" borderId="1" xfId="0" applyAlignment="1">
      <x:alignment vertical="center" wrapText="1"/>
    </x:xf>
    <x:xf numFmtId="0" fontId="6" fillId="0" borderId="0" xfId="0" applyAlignment="1">
      <x:alignment vertical="center" wrapText="1"/>
    </x:xf>
    <x:xf numFmtId="0" fontId="5" fillId="0" borderId="1" xfId="0" applyAlignment="1">
      <x:alignment horizontal="center" vertical="center" wrapText="1"/>
    </x:xf>
    <x:xf numFmtId="0" fontId="6" fillId="0" borderId="1" xfId="0" applyAlignment="1">
      <x:alignment horizontal="center" vertical="center" wrapText="1"/>
    </x:xf>
    <x:xf numFmtId="0" fontId="6" fillId="0" borderId="1" xfId="0" applyAlignment="1">
      <x:alignment vertical="center" wrapText="1"/>
    </x:xf>
    <x:xf numFmtId="0" fontId="7" fillId="0" borderId="1" xfId="1" applyAlignment="1">
      <x:alignment vertical="center" wrapText="1"/>
    </x:xf>
    <x:xf numFmtId="0" fontId="10" fillId="0" borderId="0" xfId="0"/>
    <x:xf numFmtId="0" fontId="12" fillId="0" borderId="0" xfId="0"/>
    <x:xf numFmtId="0" fontId="13" fillId="0" borderId="0" xfId="0" applyAlignment="1">
      <x:alignment vertical="top" wrapText="1"/>
    </x:xf>
    <x:xf numFmtId="0" fontId="8" fillId="3" borderId="8" xfId="0" applyAlignment="1">
      <x:alignment horizontal="center" vertical="center" wrapText="1"/>
    </x:xf>
    <x:xf numFmtId="0" fontId="9" fillId="0" borderId="8" xfId="0" applyAlignment="1">
      <x:alignment vertical="top" wrapText="1"/>
    </x:xf>
    <x:xf numFmtId="0" fontId="9" fillId="4" borderId="8" xfId="0" applyAlignment="1">
      <x:alignment vertical="top" wrapText="1"/>
    </x:xf>
    <x:xf numFmtId="0" fontId="9" fillId="5" borderId="8" xfId="0" applyAlignment="1">
      <x:alignment vertical="top" wrapText="1"/>
    </x:xf>
    <x:xf numFmtId="0" fontId="9" fillId="6" borderId="8" xfId="0" applyAlignment="1">
      <x:alignment vertical="top" wrapText="1"/>
    </x:xf>
    <x:xf numFmtId="0" fontId="16" fillId="9" borderId="9" xfId="0" applyAlignment="1">
      <x:alignment vertical="center" wrapText="1"/>
    </x:xf>
    <x:xf numFmtId="0" fontId="16" fillId="9" borderId="10" xfId="0" applyAlignment="1">
      <x:alignment vertical="center" wrapText="1"/>
    </x:xf>
    <x:xf numFmtId="0" fontId="16" fillId="9" borderId="11" xfId="0" applyAlignment="1">
      <x:alignment vertical="center" wrapText="1"/>
    </x:xf>
    <x:xf numFmtId="0" fontId="0" fillId="0" borderId="12" xfId="0" applyAlignment="1">
      <x:alignment vertical="top" wrapText="1"/>
    </x:xf>
    <x:xf numFmtId="0" fontId="0" fillId="0" borderId="13" xfId="0" applyAlignment="1">
      <x:alignment vertical="top" wrapText="1"/>
    </x:xf>
    <x:xf numFmtId="0" fontId="0" fillId="0" borderId="14" xfId="0" applyAlignment="1">
      <x:alignment vertical="top" wrapText="1"/>
    </x:xf>
    <x:xf numFmtId="0" fontId="17" fillId="10" borderId="12" xfId="0" applyAlignment="1">
      <x:alignment vertical="top" wrapText="1"/>
    </x:xf>
    <x:xf numFmtId="0" fontId="17" fillId="10" borderId="13" xfId="0" applyAlignment="1">
      <x:alignment vertical="top" wrapText="1"/>
    </x:xf>
    <x:xf numFmtId="0" fontId="17" fillId="10" borderId="14" xfId="0" applyAlignment="1">
      <x:alignment vertical="top" wrapText="1"/>
    </x:xf>
    <x:xf numFmtId="0" fontId="0" fillId="0" borderId="15" xfId="0" applyAlignment="1">
      <x:alignment vertical="center" wrapText="1"/>
    </x:xf>
    <x:xf numFmtId="0" fontId="0" fillId="0" borderId="15" xfId="0" applyAlignment="1">
      <x:alignment horizontal="center" vertical="center" wrapText="1"/>
    </x:xf>
    <x:xf numFmtId="0" fontId="18" fillId="0" borderId="15" xfId="0" applyAlignment="1">
      <x:alignment horizontal="center" vertical="center" wrapText="1"/>
    </x:xf>
    <x:xf numFmtId="0" fontId="16" fillId="13" borderId="16" xfId="0" applyAlignment="1">
      <x:alignment vertical="center" wrapText="1"/>
    </x:xf>
    <x:xf numFmtId="0" fontId="0" fillId="0" borderId="17" xfId="0" applyAlignment="1">
      <x:alignment vertical="top" wrapText="1"/>
    </x:xf>
    <x:xf numFmtId="164" fontId="0" fillId="0" borderId="12" xfId="0" applyAlignment="1">
      <x:alignment horizontal="right" vertical="top" wrapText="1"/>
    </x:xf>
    <x:xf numFmtId="164" fontId="0" fillId="0" borderId="13" xfId="0" applyAlignment="1">
      <x:alignment horizontal="right" vertical="top" wrapText="1"/>
    </x:xf>
    <x:xf numFmtId="164" fontId="0" fillId="0" borderId="17" xfId="0" applyAlignment="1">
      <x:alignment horizontal="right" vertical="top" wrapText="1"/>
    </x:xf>
    <x:xf numFmtId="0" fontId="18" fillId="0" borderId="13" xfId="0" applyAlignment="1">
      <x:alignment vertical="top" wrapText="1"/>
    </x:xf>
    <x:xf numFmtId="0" fontId="0" fillId="0" borderId="0" xfId="0" applyAlignment="1">
      <x:alignment vertical="top" wrapText="1"/>
    </x:xf>
    <x:xf numFmtId="0" fontId="19" fillId="14" borderId="0" xfId="0" applyAlignment="1">
      <x:alignment vertical="top" wrapText="1"/>
    </x:xf>
    <x:xf numFmtId="0" fontId="0" fillId="15" borderId="0" xfId="0" applyAlignment="1">
      <x:alignment vertical="top" wrapText="1"/>
    </x:xf>
    <x:xf numFmtId="0" fontId="19" fillId="14" borderId="12" xfId="0" applyAlignment="1">
      <x:alignment vertical="top" wrapText="1"/>
    </x:xf>
    <x:xf numFmtId="0" fontId="19" fillId="14" borderId="13" xfId="0" applyAlignment="1">
      <x:alignment vertical="top" wrapText="1"/>
    </x:xf>
    <x:xf numFmtId="0" fontId="0" fillId="15" borderId="13" xfId="0" applyAlignment="1">
      <x:alignment vertical="top" wrapText="1"/>
    </x:xf>
    <x:xf numFmtId="164" fontId="0" fillId="15" borderId="13" xfId="0" applyAlignment="1">
      <x:alignment horizontal="right" vertical="top" wrapText="1"/>
    </x:xf>
    <x:xf numFmtId="0" fontId="19" fillId="14" borderId="17" xfId="0" applyAlignment="1">
      <x:alignment vertical="top" wrapText="1"/>
    </x:xf>
    <x:xf numFmtId="0" fontId="16" fillId="18" borderId="16" xfId="0" applyAlignment="1">
      <x:alignment vertical="center" wrapText="1"/>
    </x:xf>
    <x:xf numFmtId="0" fontId="0" fillId="0" borderId="12" xfId="0" applyAlignment="1">
      <x:alignment vertical="center" wrapText="1"/>
    </x:xf>
    <x:xf numFmtId="165" fontId="20" fillId="19" borderId="12" xfId="0" applyAlignment="1">
      <x:alignment vertical="center" wrapText="1"/>
    </x:xf>
    <x:xf numFmtId="0" fontId="0" fillId="0" borderId="13" xfId="0" applyAlignment="1">
      <x:alignment vertical="center" wrapText="1"/>
    </x:xf>
    <x:xf numFmtId="165" fontId="20" fillId="19" borderId="13" xfId="0" applyAlignment="1">
      <x:alignment vertical="center" wrapText="1"/>
    </x:xf>
    <x:xf numFmtId="165" fontId="0" fillId="0" borderId="13" xfId="0" applyAlignment="1">
      <x:alignment vertical="center" wrapText="1"/>
    </x:xf>
    <x:xf numFmtId="0" fontId="0" fillId="0" borderId="17" xfId="0" applyAlignment="1">
      <x:alignment vertical="center" wrapText="1"/>
    </x:xf>
    <x:xf numFmtId="165" fontId="0" fillId="0" borderId="17" xfId="0" applyAlignment="1">
      <x:alignment vertical="center" wrapText="1"/>
    </x:xf>
    <x:xf numFmtId="3" fontId="0" fillId="0" borderId="12" xfId="0" applyAlignment="1">
      <x:alignment vertical="center" wrapText="1"/>
    </x:xf>
    <x:xf numFmtId="166" fontId="0" fillId="0" borderId="12" xfId="0" applyAlignment="1">
      <x:alignment vertical="center" wrapText="1"/>
    </x:xf>
    <x:xf numFmtId="4" fontId="0" fillId="0" borderId="12" xfId="0" applyAlignment="1">
      <x:alignment vertical="center" wrapText="1"/>
    </x:xf>
    <x:xf numFmtId="165" fontId="0" fillId="0" borderId="12" xfId="0" applyAlignment="1">
      <x:alignment vertical="center" wrapText="1"/>
    </x:xf>
    <x:xf numFmtId="3" fontId="0" fillId="0" borderId="13" xfId="0" applyAlignment="1">
      <x:alignment vertical="center" wrapText="1"/>
    </x:xf>
    <x:xf numFmtId="166" fontId="0" fillId="0" borderId="13" xfId="0" applyAlignment="1">
      <x:alignment vertical="center" wrapText="1"/>
    </x:xf>
    <x:xf numFmtId="4" fontId="0" fillId="0" borderId="13" xfId="0" applyAlignment="1">
      <x:alignment vertical="center" wrapText="1"/>
    </x:xf>
    <x:xf numFmtId="0" fontId="19" fillId="14" borderId="18" xfId="0" applyAlignment="1">
      <x:alignment vertical="center" wrapText="1"/>
    </x:xf>
    <x:xf numFmtId="4" fontId="19" fillId="14" borderId="18" xfId="0" applyAlignment="1">
      <x:alignment vertical="center" wrapText="1"/>
    </x:xf>
    <x:xf numFmtId="165" fontId="19" fillId="14" borderId="18" xfId="0" applyAlignment="1">
      <x:alignment vertical="center" wrapText="1"/>
    </x:xf>
    <x:xf numFmtId="0" fontId="19" fillId="14" borderId="13" xfId="0" applyAlignment="1">
      <x:alignment vertical="center" wrapText="1"/>
    </x:xf>
    <x:xf numFmtId="165" fontId="19" fillId="14" borderId="13" xfId="0" applyAlignment="1">
      <x:alignment vertical="center" wrapText="1"/>
    </x:xf>
    <x:xf numFmtId="0" fontId="21" fillId="20" borderId="17" xfId="0" applyAlignment="1">
      <x:alignment vertical="center" wrapText="1"/>
    </x:xf>
    <x:xf numFmtId="165" fontId="21" fillId="20" borderId="17" xfId="0" applyAlignment="1">
      <x:alignment vertical="center" wrapText="1"/>
    </x:xf>
    <x:xf numFmtId="0" fontId="9" fillId="0" borderId="0" xfId="0" applyAlignment="1">
      <x:alignment vertical="top" wrapText="1"/>
    </x:xf>
    <x:xf numFmtId="0" fontId="0" fillId="0" borderId="0" xfId="0"/>
    <x:xf numFmtId="0" fontId="9" fillId="0" borderId="0" xfId="0" applyAlignment="1">
      <x:alignment wrapText="1"/>
    </x:xf>
    <x:xf numFmtId="0" fontId="11" fillId="4" borderId="0" xfId="0" applyAlignment="1">
      <x:alignment vertical="center" wrapText="1"/>
    </x:xf>
    <x:xf numFmtId="0" fontId="5" fillId="0" borderId="2" xfId="0" applyAlignment="1">
      <x:alignment horizontal="center" vertical="center" wrapText="1"/>
    </x:xf>
    <x:xf numFmtId="0" fontId="0" fillId="0" borderId="3" xfId="0"/>
    <x:xf numFmtId="0" fontId="1" fillId="0" borderId="1" xfId="0" applyAlignment="1">
      <x:alignment horizontal="center" vertical="center" wrapText="1"/>
    </x:xf>
    <x:xf numFmtId="0" fontId="0" fillId="0" borderId="4" xfId="0"/>
    <x:xf numFmtId="0" fontId="0" fillId="0" borderId="5" xfId="0"/>
    <x:xf numFmtId="0" fontId="0" fillId="0" borderId="1" xfId="0" applyAlignment="1">
      <x:alignment horizontal="left" vertical="center" wrapText="1"/>
    </x:xf>
    <x:xf numFmtId="0" fontId="14" fillId="7" borderId="0" xfId="0" applyAlignment="1">
      <x:alignment vertical="center"/>
    </x:xf>
    <x:xf numFmtId="0" fontId="15" fillId="8" borderId="0" xfId="0" applyAlignment="1">
      <x:alignment vertical="center" wrapText="1"/>
    </x:xf>
    <x:xf numFmtId="0" fontId="16" fillId="11" borderId="0" xfId="0" applyAlignment="1">
      <x:alignment horizontal="left" vertical="center"/>
    </x:xf>
    <x:xf numFmtId="0" fontId="15" fillId="12" borderId="0" xfId="0" applyAlignment="1">
      <x:alignment vertical="center" wrapText="1"/>
    </x:xf>
    <x:xf numFmtId="0" fontId="16" fillId="16" borderId="0" xfId="0" applyAlignment="1">
      <x:alignment vertical="center"/>
    </x:xf>
    <x:xf numFmtId="0" fontId="15" fillId="17" borderId="0" xfId="0" applyAlignment="1">
      <x:alignment vertical="center" wrapText="1"/>
    </x:xf>
    <x:xf numFmtId="0" fontId="16" fillId="16" borderId="0" xfId="0" applyAlignment="1">
      <x:alignment vertical="center" wrapText="1"/>
    </x:xf>
    <x:xf numFmtId="0" fontId="18" fillId="0" borderId="15" xfId="0" applyAlignment="1">
      <x:alignment wrapText="1"/>
    </x:xf>
    <x:xf numFmtId="0" fontId="0" fillId="0" borderId="15" xfId="0" applyAlignment="1">
      <x:alignment wrapText="1"/>
    </x:xf>
    <x:xf numFmtId="0" fontId="0" fillId="0" borderId="1" xfId="0" applyAlignment="1">
      <x:alignment vertical="top" wrapText="1"/>
    </x:xf>
    <x:xf numFmtId="0" fontId="18" fillId="0" borderId="0" xfId="0" applyAlignment="1">
      <x:alignment wrapText="1"/>
    </x:xf>
    <x:xf numFmtId="0" fontId="0" fillId="0" borderId="6" xfId="0" applyAlignment="1">
      <x:alignment wrapText="1"/>
    </x:xf>
    <x:xf numFmtId="0" fontId="0" fillId="0" borderId="7" xfId="0" applyAlignment="1">
      <x:alignment wrapText="1"/>
    </x:xf>
    <x:xf numFmtId="0" fontId="19" fillId="0" borderId="12" xfId="0" applyAlignment="1">
      <x:alignment vertical="top" wrapText="1"/>
    </x:xf>
    <x:xf numFmtId="0" fontId="19" fillId="0" borderId="13" xfId="0" applyAlignment="1">
      <x:alignment vertical="top" wrapText="1"/>
    </x:xf>
    <x:xf numFmtId="0" fontId="19" fillId="0" borderId="14" xfId="0" applyAlignment="1">
      <x:alignment vertical="top" wrapText="1"/>
    </x:xf>
    <x:xf numFmtId="167" fontId="9" fillId="0" borderId="8" xfId="0" applyAlignment="1">
      <x:alignment vertical="top" wrapText="1"/>
    </x:xf>
    <x:xf numFmtId="167" fontId="9" fillId="4" borderId="8" xfId="0" applyAlignment="1">
      <x:alignment vertical="top" wrapText="1"/>
    </x:xf>
    <x:xf numFmtId="167" fontId="9" fillId="5" borderId="8" xfId="0" applyAlignment="1">
      <x:alignment vertical="top" wrapText="1"/>
    </x:xf>
    <x:xf numFmtId="167" fontId="9" fillId="6" borderId="8" xfId="0" applyAlignment="1">
      <x:alignment vertical="top" wrapText="1"/>
    </x:xf>
    <x:xf numFmtId="0" fontId="0" fillId="0" borderId="6" xfId="0"/>
    <x:xf numFmtId="0" fontId="0" fillId="0" borderId="7" xfId="0"/>
    <x:xf numFmtId="0" fontId="22" fillId="0" borderId="0" xfId="0"/>
    <x:xf numFmtId="0" fontId="23" fillId="0" borderId="0" xfId="0"/>
    <x:xf numFmtId="0" fontId="25" fillId="0" borderId="0" xfId="0"/>
    <x:xf numFmtId="0" fontId="24" fillId="0" borderId="0" xfId="0"/>
  </x:cellXfs>
  <x:cellStyles count="2">
    <x:cellStyle name="Normal" xfId="0"/>
    <x:cellStyle name="Hyperlink" xfId="1"/>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b5bfceae0060459c" /><Relationship Type="http://schemas.openxmlformats.org/officeDocument/2006/relationships/theme" Target="/xl/theme/theme1.xml" Id="R66663440538a4288" /><Relationship Type="http://schemas.openxmlformats.org/officeDocument/2006/relationships/sharedStrings" Target="/xl/sharedStrings.xml" Id="R0e4266a412314639" /><Relationship Type="http://schemas.openxmlformats.org/officeDocument/2006/relationships/worksheet" Target="/xl/worksheets/sheet1.xml" Id="R97a14dc5080f4a9a" /><Relationship Type="http://schemas.openxmlformats.org/officeDocument/2006/relationships/worksheet" Target="/xl/worksheets/sheet2.xml" Id="Re868d15dd471411a" /><Relationship Type="http://schemas.openxmlformats.org/officeDocument/2006/relationships/worksheet" Target="/xl/worksheets/sheet3.xml" Id="R9eaacd6ed0e54881" /><Relationship Type="http://schemas.openxmlformats.org/officeDocument/2006/relationships/worksheet" Target="/xl/worksheets/sheet4.xml" Id="Ra2f4eeb3aaf54b1d" /><Relationship Type="http://schemas.openxmlformats.org/officeDocument/2006/relationships/worksheet" Target="/xl/worksheets/sheet5.xml" Id="R8a32dc1a02d948c3" /><Relationship Type="http://schemas.openxmlformats.org/officeDocument/2006/relationships/worksheet" Target="/xl/worksheets/sheet6.xml" Id="Ra8b85a8dcd91422a" /><Relationship Type="http://schemas.openxmlformats.org/officeDocument/2006/relationships/worksheet" Target="/xl/worksheets/sheet7.xml" Id="R0f59658705ac4ad0" /><Relationship Type="http://schemas.openxmlformats.org/officeDocument/2006/relationships/worksheet" Target="/xl/worksheets/sheet8.xml" Id="R21994ae4df174f3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xml.rels>&#65279;<?xml version="1.0" encoding="utf-8"?><Relationships xmlns="http://schemas.openxmlformats.org/package/2006/relationships"><Relationship Type="http://schemas.openxmlformats.org/officeDocument/2006/relationships/hyperlink" Target="https://legis.delaware.gov/BillDetail/142565" TargetMode="External" Id="Rea46d09cb14547e1" /></Relationships>
</file>

<file path=xl/worksheets/sheet1.xml><?xml version="1.0" encoding="utf-8"?>
<x:worksheet xmlns:x="http://schemas.openxmlformats.org/spreadsheetml/2006/main">
  <x:sheetFormatPr baseColWidth="8" defaultRowHeight="15"/>
  <x:cols>
    <x:col min="1" max="1" width="22" style="76" customWidth="1"/>
    <x:col min="2" max="8" width="14" style="76" customWidth="1"/>
  </x:cols>
  <x:sheetData>
    <x:row r="1" s="76" customFormat="1" ht="16.5" customHeight="1">
      <x:c r="A1" s="19" t="inlineStr">
        <x:is>
          <x:t xml:space="preserve">Rule Register — Legend &amp; Instructions</x:t>
        </x:is>
      </x:c>
    </x:row>
    <x:row r="3">
      <x:c r="A3" s="77" t="inlineStr">
        <x:is>
          <x:t xml:space="preserve">Purpose: one row per business rule, with enough structure that a formula can be implemented from this sheet without re-reading statute text, and enough governance fields that everyone can see what's confirmed vs. pending.</x:t>
        </x:is>
      </x:c>
    </x:row>
    <x:row r="4"/>
    <x:row r="5"/>
    <x:row r="7">
      <x:c r="A7" s="78" t="inlineStr">
        <x:is>
          <x:t xml:space="preserve">Cells filled with yellow and marked "TBD" need stakeholder input — they were not available from the source workbook or the HTML calculator's prior implementation.</x:t>
        </x:is>
      </x:c>
    </x:row>
    <x:row r="8"/>
    <x:row r="10">
      <x:c r="A10" s="77" t="inlineStr">
        <x:is>
          <x:t xml:space="preserve">Rows shaded light red are open discrepancies (as of 2026-07-24: BR2-013 Assistant Superintendent, BR2-014 Director -- calculation-base conflict with PEFC New Rule Updates, see row 55 note -- and BR-CO-009 Reading Cadre). Rows shaded grey are categories with no independently-derivable formula in any source (Administrative Support Professionals -- BR2-009, precomputed value only, formula status still Open). CORRECTED 2026-07-24: Instructional Supports (BR2-010) removed from this list -- it does have a defined, verified formula (div1_units * 0.20) and should not be shaded grey.</x:t>
        </x:is>
      </x:c>
    </x:row>
    <x:row r="11"/>
    <x:row r="13">
      <x:c r="A13" s="20" t="inlineStr">
        <x:is>
          <x:t xml:space="preserve">Column definitions</x:t>
        </x:is>
      </x:c>
    </x:row>
    <x:row r="15" s="76" customFormat="1" ht="45.95000076293945" customHeight="1">
      <x:c r="A15" s="21" t="inlineStr">
        <x:is>
          <x:t xml:space="preserve">Rule ID</x:t>
        </x:is>
      </x:c>
      <x:c r="B15" s="75" t="inlineStr">
        <x:is>
          <x:t xml:space="preserve">Unique, stable identifier. Never renumber or reuse once assigned — other sheets, the HTML calculator, and future audits will reference these IDs directly.</x:t>
        </x:is>
      </x:c>
    </x:row>
    <x:row r="16" s="76" customFormat="1" ht="45.95000076293945" customHeight="1">
      <x:c r="A16" s="21" t="inlineStr">
        <x:is>
          <x:t xml:space="preserve">Level / Scope</x:t>
        </x:is>
      </x:c>
      <x:c r="B16" s="75" t="inlineStr">
        <x:is>
          <x:t xml:space="preserve">School, District, or State — which level of the calculator applies this rule.</x:t>
        </x:is>
      </x:c>
    </x:row>
    <x:row r="17" s="76" customFormat="1" ht="45.95000076293945" customHeight="1">
      <x:c r="A17" s="21" t="inlineStr">
        <x:is>
          <x:t xml:space="preserve">Eligible LEA Type</x:t>
        </x:is>
      </x:c>
      <x:c r="B17" s="75" t="inlineStr">
        <x:is>
          <x:t xml:space="preserve">Which LEAs this rule funds: all LEAs, districts only, charters excluded, county Vo-Tech only, etc. Make eligibility a data field, not something read out of statute prose by whoever writes the code.</x:t>
        </x:is>
      </x:c>
    </x:row>
    <x:row r="18" s="76" customFormat="1" ht="45.95000076293945" customHeight="1">
      <x:c r="A18" s="21" t="inlineStr">
        <x:is>
          <x:t xml:space="preserve">Funding Type</x:t>
        </x:is>
      </x:c>
      <x:c r="B18" s="75" t="inlineStr">
        <x:is>
          <x:t xml:space="preserve">Unit-generated / Position (FTE) / Compensation / Appropriation / Equalization / Local Share / Cash Option. Tells the calculator whether to expect a headcount, a dollar figure, or nothing computable yet.</x:t>
        </x:is>
      </x:c>
    </x:row>
    <x:row r="19" s="76" customFormat="1" ht="45.95000076293945" customHeight="1">
      <x:c r="A19" s="21" t="inlineStr">
        <x:is>
          <x:t xml:space="preserve">Formula (Plain Language)</x:t>
        </x:is>
      </x:c>
      <x:c r="B19" s="75" t="inlineStr">
        <x:is>
          <x:t xml:space="preserve">Human-readable description, close to statute wording.</x:t>
        </x:is>
      </x:c>
    </x:row>
    <x:row r="20" s="76" customFormat="1" ht="45.95000076293945" customHeight="1">
      <x:c r="A20" s="21" t="inlineStr">
        <x:is>
          <x:t xml:space="preserve">Formula (Executable)</x:t>
        </x:is>
      </x:c>
      <x:c r="B20" s="75" t="inlineStr">
        <x:is>
          <x:t xml:space="preserve">Literal, unambiguous expression a developer can implement without interpretation. This is the column that would have caught the fractional-entitlement bug found in the HTML calculator on 2026-07-22 — prose ("fractional support below threshold") was misread as "continuous ratio at every level" instead of "fractional only below the first threshold, floored above it."</x:t>
        </x:is>
      </x:c>
    </x:row>
    <x:row r="21" s="76" customFormat="1" ht="45.95000076293945" customHeight="1">
      <x:c r="A21" s="21" t="inlineStr">
        <x:is>
          <x:t xml:space="preserve">Threshold Behavior</x:t>
        </x:is>
      </x:c>
      <x:c r="B21" s="75" t="inlineStr">
        <x:is>
          <x:t xml:space="preserve">Explicit category: Continuous ratio / Threshold gate / Piecewise stepped / Floored+capped / Fractional-below-first-threshold-only / Conditional branch / N/A. A second, independent check against the executable formula.</x:t>
        </x:is>
      </x:c>
    </x:row>
    <x:row r="22" s="76" customFormat="1" ht="45.95000076293945" customHeight="1">
      <x:c r="A22" s="21" t="inlineStr">
        <x:is>
          <x:t xml:space="preserve">Max / Cap</x:t>
        </x:is>
      </x:c>
      <x:c r="B22" s="75" t="inlineStr">
        <x:is>
          <x:t xml:space="preserve">Any statutory ceiling on the position count (e.g., Director capped at 6).</x:t>
        </x:is>
      </x:c>
    </x:row>
    <x:row r="23" s="76" customFormat="1" ht="45.95000076293945" customHeight="1">
      <x:c r="A23" s="21" t="inlineStr">
        <x:is>
          <x:t xml:space="preserve">Required Inputs</x:t>
        </x:is>
      </x:c>
      <x:c r="B23" s="75" t="inlineStr">
        <x:is>
          <x:t xml:space="preserve">Exact data fields the formula consumes.</x:t>
        </x:is>
      </x:c>
    </x:row>
    <x:row r="24" s="76" customFormat="1" ht="45.95000076293945" customHeight="1">
      <x:c r="A24" s="21" t="inlineStr">
        <x:is>
          <x:t xml:space="preserve">Data Source System / Snapshot Date / Data Owner</x:t>
        </x:is>
      </x:c>
      <x:c r="B24" s="75" t="inlineStr">
        <x:is>
          <x:t xml:space="preserve">Where the input data comes from, when it's collected, and who is responsible for supplying it.</x:t>
        </x:is>
      </x:c>
    </x:row>
    <x:row r="25" s="76" customFormat="1" ht="45.95000076293945" customHeight="1">
      <x:c r="A25" s="21" t="inlineStr">
        <x:is>
          <x:t xml:space="preserve">Legal Authority / Citation URL</x:t>
        </x:is>
      </x:c>
      <x:c r="B25" s="75" t="inlineStr">
        <x:is>
          <x:t xml:space="preserve">Exact statutory subsection and a link to the current text.</x:t>
        </x:is>
      </x:c>
    </x:row>
    <x:row r="26" s="76" customFormat="1" ht="45.95000076293945" customHeight="1">
      <x:c r="A26" s="21" t="inlineStr">
        <x:is>
          <x:t xml:space="preserve">Legal Text Snapshot Date</x:t>
        </x:is>
      </x:c>
      <x:c r="B26" s="75" t="inlineStr">
        <x:is>
          <x:t xml:space="preserve">Date the linked statute text was last confirmed to match the formula in this row. Without this, "verified" only tells you someone checked once, not whether the law has since changed.</x:t>
        </x:is>
      </x:c>
    </x:row>
    <x:row r="27" s="76" customFormat="1" ht="45.95000076293945" customHeight="1">
      <x:c r="A27" s="21" t="inlineStr">
        <x:is>
          <x:t xml:space="preserve">Fiscal Year Effective</x:t>
        </x:is>
      </x:c>
      <x:c r="B27" s="75" t="inlineStr">
        <x:is>
          <x:t xml:space="preserve">Especially important for appropriation-type rules (e.g. Reading Cadre / HB 225), which are reset every budget cycle and are not evergreen like Title 14 unit formulas.</x:t>
        </x:is>
      </x:c>
    </x:row>
    <x:row r="28" s="76" customFormat="1" ht="45.95000076293945" customHeight="1">
      <x:c r="A28" s="21" t="inlineStr">
        <x:is>
          <x:t xml:space="preserve">Business Owner / Legal-Policy Approver</x:t>
        </x:is>
      </x:c>
      <x:c r="B28" s="75" t="inlineStr">
        <x:is>
          <x:t xml:space="preserve">Two distinct named roles: who interprets the rule operationally, and who has authority to say the implementation is legally correct. (Sheet1 of the original workbook asked "who is the authoritative business owner" and it's still unanswered as of this register's creation.)</x:t>
        </x:is>
      </x:c>
    </x:row>
    <x:row r="29" s="76" customFormat="1" ht="45.95000076293945" customHeight="1">
      <x:c r="A29" s="21" t="inlineStr">
        <x:is>
          <x:t xml:space="preserve">Status</x:t>
        </x:is>
      </x:c>
      <x:c r="B29" s="75" t="inlineStr">
        <x:is>
          <x:t xml:space="preserve">Draft / Pending / Verified / Rejected / Superseded / Discrepancy / Empty.</x:t>
        </x:is>
      </x:c>
    </x:row>
    <x:row r="30" s="76" customFormat="1" ht="45.95000076293945" customHeight="1">
      <x:c r="A30" s="21" t="inlineStr">
        <x:is>
          <x:t xml:space="preserve">Status Date</x:t>
        </x:is>
      </x:c>
      <x:c r="B30" s="75" t="inlineStr">
        <x:is>
          <x:t xml:space="preserve">When Status was last set — lets you tell a stale "Verified" from a current one.</x:t>
        </x:is>
      </x:c>
    </x:row>
    <x:row r="31" s="76" customFormat="1" ht="45.95000076293945" customHeight="1">
      <x:c r="A31" s="21" t="inlineStr">
        <x:is>
          <x:t xml:space="preserve">Reconciliation Target</x:t>
        </x:is>
      </x:c>
      <x:c r="B31" s="75" t="inlineStr">
        <x:is>
          <x:t xml:space="preserve">A dollar or count figure this rule's statewide output should tie back to (e.g. an appropriation total). This is the field that would have surfaced the Reading Cadre ~2x gap systematically instead of by accident.</x:t>
        </x:is>
      </x:c>
    </x:row>
    <x:row r="32" s="76" customFormat="1" ht="45.95000076293945" customHeight="1">
      <x:c r="A32" s="21" t="inlineStr">
        <x:is>
          <x:t xml:space="preserve">Boundary Test Cases</x:t>
        </x:is>
      </x:c>
      <x:c r="B32" s="75" t="inlineStr">
        <x:is>
          <x:t xml:space="preserve">Concrete inputs at and near each threshold, with expected outputs. Forces whoever edits a formula to also state what "correct" looks like at the edges.</x:t>
        </x:is>
      </x:c>
    </x:row>
    <x:row r="33" s="76" customFormat="1" ht="45.95000076293945" customHeight="1">
      <x:c r="A33" s="21" t="inlineStr">
        <x:is>
          <x:t xml:space="preserve">Related Rule IDs</x:t>
        </x:is>
      </x:c>
      <x:c r="B33" s="75" t="inlineStr">
        <x:is>
          <x:t xml:space="preserve">Cross-references between rules that operate together (e.g. the 3 CTE rules, or a Position row and its paired Salary row).</x:t>
        </x:is>
      </x:c>
    </x:row>
    <x:row r="34" s="76" customFormat="1" ht="45.95000076293945" customHeight="1">
      <x:c r="A34" s="21" t="inlineStr">
        <x:is>
          <x:t xml:space="preserve">Notes / Open Questions</x:t>
        </x:is>
      </x:c>
      <x:c r="B34" s="75" t="inlineStr">
        <x:is>
          <x:t xml:space="preserve">Free text — open questions to DDOE, drafting errors spotted in prior source documents, correction history.</x:t>
        </x:is>
      </x:c>
    </x:row>
    <x:row r="36">
      <x:c r="A36" s="20" t="inlineStr">
        <x:is>
          <x:t xml:space="preserve">Known open items as of this register's creation (2026-07-22):</x:t>
        </x:is>
      </x:c>
    </x:row>
    <x:row r="37" s="76" customFormat="1" ht="39.95000076293945" customHeight="1">
      <x:c r="A37" s="75" t="inlineStr">
        <x:is>
          <x:t xml:space="preserve">• BR-CO-009 (Reading Cadre): ~2x discrepancy between prior calculator output ($4,134,665) and the HB 225 appropriation ($2,064,600). Charter-exclusion logic and current §1707 equalization unit values need DDOE confirmation.</x:t>
        </x:is>
      </x:c>
    </x:row>
    <x:row r="38" s="76" customFormat="1" ht="39.95000076293945" customHeight="1">
      <x:c r="A38" s="75" t="inlineStr">
        <x:is>
          <x:t xml:space="preserve">• 10 of 29 rules have no Status entered in the original source workbook (BR-016, BR-017, BR-019, BR-020, BR-023, BR-024, BR-025, BR-026, BR-027, BR-028) — treat as pending, not verified, until confirmed.</x:t>
        </x:is>
      </x:c>
    </x:row>
    <x:row r="39" s="76" customFormat="1" ht="39.95000076293945" customHeight="1">
      <x:c r="A39" s="75" t="str">
        <x:v>• BR-021 (Administrative Support Professionals) still has no independently verified generating formula; the current What-If Model uses a clearly labeled pattern-derived estimate. BR-022 (Instructional Supports) has since been reconciled to the verified PEFC workbook formula div1_units * 0.20 — see Rule Register BR2-010. Compensation-type rules remain separately blocked on missing salary schedules as noted below.</x:v>
      </x:c>
    </x:row>
    <x:row r="40" s="76" customFormat="1" ht="39.95000076293945" customHeight="1">
      <x:c r="A40" s="75" t="inlineStr">
        <x:is>
          <x:t xml:space="preserve">• All Compensation-type rules (BR-010, BR-012, BR-013, BR-015, BR-023, BR-025) are blocked on missing §1305/§1308/§1311 salary schedule data — those schedules should become their own rule rows once sourced.</x:t>
        </x:is>
      </x:c>
    </x:row>
    <x:row r="42">
      <x:c r="A42" s="108" t="inlineStr">
        <x:is>
          <x:t xml:space="preserve">Update 2026-07-23 — reconciliation against the real reference workbook (.xlsm):</x:t>
        </x:is>
      </x:c>
    </x:row>
    <x:row r="43">
      <x:c r="A43" t="inlineStr">
        <x:is>
          <x:t xml:space="preserve">• The Rule Register's original 38 rows (BR-001 through BR-028, BR-PEFC-001 through BR-PEFC-009, "29 rules" as referenced above) were reconciled against real, empirical data from "Hybrid Funding Formula Calculator for 25-26 w Charter version 05152026.xlsm" and replaced with 23 rows under new BR2- prefixed IDs (BR-CO-009 / Reading Cadre kept its original ID, unchanged). This was done by overwriting the sheet in place WITHOUT first archiving the originals -- a violation of the "never renumber or reuse" rule above. A best-effort partial reconstruction of the retired rows lives in the "Retired Rules (pre-2026-07-23)" sheet, though formula text there is truncated and incomplete.</x:t>
        </x:is>
      </x:c>
    </x:row>
    <x:row r="44">
      <x:c r="A44" t="inlineStr">
        <x:is>
          <x:t xml:space="preserve">• Two mechanism corrections confirmed against real per-school and per-LEA data: Assistant Superintendent and Director are computed ONCE from the LEA-wide combined unit base, not per-school-then-summed as this register previously stated (every individual school's own field is 0; only the LEA aggregate row carries the real value).</x:t>
        </x:is>
      </x:c>
    </x:row>
    <x:row r="45">
      <x:c r="A45" t="inlineStr">
        <x:is>
          <x:t xml:space="preserve">• Food Services Supervisor (LEA-level) now has a confirmed formula: 1 + floor(max(0,units-500)/500), verified against all 43 LEA aggregate rows. The register previously called this an open discrepancy based on checking the wrong granularity (per-school instead of per-LEA).</x:t>
        </x:is>
      </x:c>
    </x:row>
    <x:row r="46">
      <x:c r="A46" t="inlineStr">
        <x:is>
          <x:t xml:space="preserve">• The "New Rule Updates" sheet is a proposed-changes tracking document (most rows marked "Pending legal/policy verification," citing the internal "Formula Technical Reference" sheet rather than the real .xlsm) — not itself empirically verified. Where its claims could be checked against real data (Food Services formula, LEA-wide mechanism), they were incorporated. Where they couldn't (Assistant Superintendent's district-only/charter-excluded claim — no charter LEA's combined base reaches the 300-unit threshold in the current data), the claim was adopted per business decision but is flagged as unconfirmed by data, not settled fact.</x:t>
        </x:is>
      </x:c>
    </x:row>
    <x:row r="47">
      <x:c r="A47" t="inlineStr">
        <x:is>
          <x:t xml:space="preserve">• "New Rule Updates" row references to "Rule Register!A31:Y39" etc. are now stale — the register's row numbering changed with the 2026-07-23 rewrite. Not yet corrected; treat those specific cross-references in New Rule Updates as broken until updated. CORRECTED 2026-07-24: New Rule Updates row references now point to the current BR2- Rule IDs directly (not row numbers, which shift). Rule Register Related-Rule-ID collisions (where a bare old-numbering ID like "BR-011" coincidentally matched a *different*, unrelated retired component after the BR2- rename) were also fixed: BR2-012/BR2-016 (Administrative Assistant, Buildings &amp; Grounds) and BR-CO-009 (Reading Cadre) now correctly point to BR2-011 (Superintendent); BR2-014 (Director) to BR2-013 (Assistant Superintendent); BR2-015/BR2-018 (11-Month Supervisor, Transportation Supervisor) to each other; BR2-PEFC-001/002 (Opportunity LI/MLL) to each other; BR2-019 (Additional State Funding) to BR2-PEFC-001 and BR2-PEFC-003.</x:t>
        </x:is>
      </x:c>
    </x:row>
    <x:row r="49">
      <x:c r="A49" s="109" t="inlineStr">
        <x:is>
          <x:t xml:space="preserve">Update 2026-07-23 (continued): the "New Rule Updates" tab's rules were authored by PEFC itself and PEFC has confirmed in a meeting that this is their intended direction -- upgrade this sheet's credibility accordingly (PEFC's own stated policy intent, not an unverified internal draft), while still treating it as proposed/future direction rather than enacted current law until it goes through formal statutory or appropriation action.</x:t>
        </x:is>
      </x:c>
    </x:row>
    <x:row r="51">
      <x:c r="A51" s="109" t="inlineStr">
        <x:is>
          <x:t xml:space="preserve">Update 2026-07-23 (continued): a reminder for every row in the Rule Register whose Data Source System cites the reference .xlsm workbook -- the workbook is where PEFC's Hybrid Funding Model is recorded and computed, not an independent source of authority. The underlying policy decision (Division I unit divisors, Central Office position formulas, Opportunity/Operational weights) belongs to PEFC (the Delaware Public Education Funding Commission). Citing "the workbook" as a Data Source System is shorthand for "PEFC's model, as implemented in this workbook" -- not a claim that the workbook itself is the legal authority.</x:t>
        </x:is>
      </x:c>
    </x:row>
    <x:row r="53">
      <x:c r="A53" t="inlineStr">
        <x:is>
          <x:t xml:space="preserve">Update 2026-07-24 (Zoey's decision): PEFC's proposed "Division I Teacher - Pre-K" rule (1 position per 8.4 general-education Pre-K pupils) was removed from this workbook -- deleted from New Rule Updates (was row 14) and Weight Register (was row 5) -- and is not modeled anywhere in index.html. Reason: 14 Del. C. Sec 1703(d)(1)a, the only statutory citation ever found for this population, funds only preschoolers "identified as eligible for special education and related services" -- it defines no unit for general-education Pre-K. Removed content, for the record: New Rule Updates row 14 was ["Division I Teacher - Pre-K", "1 Position per 8.4 pupils", "Pre-K; districts and charter schools are eligible", "New dedicated Pre-K row added to Formula Technical Reference", "Business rule confirmed; legal citation pending", "TBD", "TBD", "TBD"]. Weight Register row 5 was ["Old model — Division I", "Pre-K", "Eligible Pre-K enrollment", "Students per position divisor", 8.4, "=1/E5", "Enrollment × per-student multiplier", "Positions / FTE", "Business rule confirmed; legal citation pending", "New Rule Updates row 14; keep regular Pre-K separate from special-education populations"]. This does not mean PEFC has formally withdrawn the proposal -- it means this project chose not to carry an unsupported proposed rule in its working documents. If PEFC confirms this rule again with a supporting citation, it should be re-added with that citation attached, not silently reintroduced.</x:t>
        </x:is>
      </x:c>
    </x:row>
    <x:row r="55">
      <x:c r="A55" t="inlineStr">
        <x:is>
          <x:t xml:space="preserve">Update 2026-07-24 (Zoey's decision): removed the five Division I divisor rows (K-3, 4-12, Basic, Intensive, Complex Special Education -- was New Rule Updates rows 14-18) from New Rule Updates. Reason: this sheet exists to track PEFC proposed CHANGES, but these five rows restated the exact current statutory divisors (14 Del. C. Sec 1703(a)(2)-(6)) with no actual proposed change -- same divisor, same district-and-charter eligibility already confirmed in real current data and already documented as Verified in the Rule Register (BR2-001 through BR2-005). Keeping them in New Rule Updates implied they were live proposals when they are settled, already-implemented law. Removed content, for the record (Funding Component, Proposed New Rule, Proposed Scope, Current Workbook Reference, Verification Status, Authority/Citation, Effective Date, Business Owner): [['Division I Teacher - K-3 Regular Education', '1 Position per 16.2 pupils', 'K–3 regular education; districts and charter schools are eligible', 'Formula Technical Reference!A3:K3', 'Verified', '14 Del. C. §1703(a)(2)', 'TBD', 'TBD'], ['Division I Teacher - 4-12 Regular Education', '1 Position per 20 pupils', 'Grades 4–12 regular education; districts and charter schools are eligible', 'Formula Technical Reference!A4:K4', 'Verified', '14 Del. C. §1703(a)(3)', 'TBD', 'TBD'], ['Division I Teacher - Basic Special Education', '1 Position per 8.4 pupils', 'Pre-K–12 Basic Special Education; districts and charter schools are eligible', 'Formula Technical Reference!A5:K5', 'Verified', '14 Del. C. §1703(a)(4) — confirm Pre-K scope', 'TBD', 'TBD'], ['Division I Teacher - Intensive Special Education', '1 Position per 6 pupils', 'Pre-K–12 Intensive Special Education; districts and charter schools are eligible', 'Formula Technical Reference!A6:K6', 'Verified', '14 Del. C. §1703(a)(5)', 'TBD', 'TBD'], ['Division I Teacher - Complex Special Education', '1 Position per 2.6 pupils', 'Pre-K–12 Complex Special Education; districts and charter schools are eligible', 'Formula Technical Reference!A7:K7', 'Verified', '14 Del. C. §1703(a)(6)', 'TBD', 'TBD']]</x:t>
        </x:is>
      </x:c>
    </x:row>
    <x:row r="57">
      <x:c r="A57" t="inlineStr">
        <x:is>
          <x:t xml:space="preserve">Update 2026-07-24: a review caught that the 2026-07-24 floor-above-threshold fix for 11-Month Supervisor (BR2-015) and Transportation Supervisor (BR2-018) had been wrongly applied to the Locked Model too. Those two rows already carried their own Boundary Test Cases -- statewide reconciliation targets of 107.77 and 18.84 positions -- which are fractional values only reachable through continuous (unfloored) division; a floor formula could never reproduce them. Formula (Executable) reverted back to continuous for both rows, matching what the real reference workbook actually computes and what this Rule Register already stated as the reconciliation target. The statute-literal floor reading (fractional only below the first threshold, whole positions above it) is still real and still worth testing -- it now lives only in the What-If Model as an explicit alternative to PEFC's current workbook behavior, not as a claim about what the workbook itself computes. Separately, the What-If Model's Assistant Superintendent/Director/11-Month Supervisor formulas were switched from the combined leaWideBase to div1Total (pure Division I units), since PEFC's New Rule Updates literally describes the proposed base as "Division I positions" -- the What-If Model exists to test PEFC's stated proposed rules as written, which is a different job from the Locked Model's job of reproducing the real workbook's current (and, per BR2-013/BR2-014, not-yet-reconciled-with-PEFC-documentation) behavior. Assistant Superintendent in the What-If Model was also switched from continuous to a floored 300-unit step function, since New Rule Updates' plain-language wording ("1 Position per 300 Division I Positions") reads as a step rule, matching Director's phrasing style, with nothing authorizing fractional positions. Also fixed in this pass: BR2-013's Eligible LEA Type said "District &amp; Charter" while its own formula and status say district-only -- corrected to District only. BR2-013 and BR2-014's Level/Scope said "School (summed to LEA)" even though both are computed once at the LEA level, not per-school-then-summed -- corrected to LEA. Row 10 above updated to reflect three open discrepancies (Assistant Superintendent, Director, Reading Cadre), not one.</x:t>
        </x:is>
      </x:c>
    </x:row>
  </x:sheetData>
  <x:mergeCells>
    <x:mergeCell ref="A39:H39"/>
    <x:mergeCell ref="B24:H24"/>
    <x:mergeCell ref="B30:H30"/>
    <x:mergeCell ref="B15:H15"/>
    <x:mergeCell ref="B33:H33"/>
    <x:mergeCell ref="B20:H20"/>
    <x:mergeCell ref="B32:H32"/>
    <x:mergeCell ref="B26:H26"/>
    <x:mergeCell ref="A10:H11"/>
    <x:mergeCell ref="B16:H16"/>
    <x:mergeCell ref="B25:H25"/>
    <x:mergeCell ref="A37:H37"/>
    <x:mergeCell ref="B31:H31"/>
    <x:mergeCell ref="B22:H22"/>
    <x:mergeCell ref="B18:H18"/>
    <x:mergeCell ref="B27:H27"/>
    <x:mergeCell ref="A3:H5"/>
    <x:mergeCell ref="B21:H21"/>
    <x:mergeCell ref="B23:H23"/>
    <x:mergeCell ref="B17:H17"/>
    <x:mergeCell ref="A7:H8"/>
    <x:mergeCell ref="A38:H38"/>
    <x:mergeCell ref="B29:H29"/>
    <x:mergeCell ref="B19:H19"/>
    <x:mergeCell ref="B34:H34"/>
    <x:mergeCell ref="B28:H28"/>
    <x:mergeCell ref="A40:H40"/>
  </x:mergeCells>
  <x:pageMargins left="0.7" right="0.7" top="0.75" bottom="0.75" header="0.3" footer="0.3"/>
</x:worksheet>
</file>

<file path=xl/worksheets/sheet2.xml><?xml version="1.0" encoding="utf-8"?>
<x:worksheet xmlns:x="http://schemas.openxmlformats.org/spreadsheetml/2006/main">
  <x:sheetFormatPr baseColWidth="8" defaultRowHeight="15"/>
  <x:cols>
    <x:col min="1" max="1" width="12" style="76" customWidth="1"/>
    <x:col min="2" max="2" width="24" style="76" customWidth="1"/>
    <x:col min="3" max="3" width="12" style="76" customWidth="1"/>
    <x:col min="4" max="4" width="20" style="76" customWidth="1"/>
    <x:col min="5" max="5" width="16" style="76" customWidth="1"/>
    <x:col min="6" max="7" width="34" style="76" customWidth="1"/>
    <x:col min="8" max="8" width="26" style="76" customWidth="1"/>
    <x:col min="9" max="9" width="10" style="76" customWidth="1"/>
    <x:col min="10" max="10" width="26" style="76" customWidth="1"/>
    <x:col min="11" max="11" width="18" style="76" customWidth="1"/>
    <x:col min="12" max="13" width="16" style="76" customWidth="1"/>
    <x:col min="14" max="14" width="20" style="76" customWidth="1"/>
    <x:col min="15" max="15" width="24" style="76" customWidth="1"/>
    <x:col min="16" max="16" width="18" style="76" customWidth="1"/>
    <x:col min="17" max="17" width="14" style="76" customWidth="1"/>
    <x:col min="18" max="18" width="16" style="76" customWidth="1"/>
    <x:col min="19" max="19" width="18" style="76" customWidth="1"/>
    <x:col min="20" max="20" width="14" style="76" customWidth="1"/>
    <x:col min="21" max="21" width="12" style="76" customWidth="1"/>
    <x:col min="22" max="22" width="24" style="76" customWidth="1"/>
    <x:col min="23" max="23" width="34" style="76" customWidth="1"/>
    <x:col min="24" max="24" width="14" style="76" customWidth="1"/>
    <x:col min="25" max="25" width="40" style="76" customWidth="1"/>
  </x:cols>
  <x:sheetData>
    <x:row r="1" s="76" customFormat="1" ht="33.95000076293945" customHeight="1">
      <x:c r="A1" s="22" t="inlineStr">
        <x:is>
          <x:t xml:space="preserve">Rule ID</x:t>
        </x:is>
      </x:c>
      <x:c r="B1" s="22" t="inlineStr">
        <x:is>
          <x:t xml:space="preserve">Funding Component</x:t>
        </x:is>
      </x:c>
      <x:c r="C1" s="22" t="inlineStr">
        <x:is>
          <x:t xml:space="preserve">Level / Scope</x:t>
        </x:is>
      </x:c>
      <x:c r="D1" s="22" t="inlineStr">
        <x:is>
          <x:t xml:space="preserve">Eligible LEA Type</x:t>
        </x:is>
      </x:c>
      <x:c r="E1" s="22" t="inlineStr">
        <x:is>
          <x:t xml:space="preserve">Funding Type</x:t>
        </x:is>
      </x:c>
      <x:c r="F1" s="22" t="inlineStr">
        <x:is>
          <x:t xml:space="preserve">Formula (Plain Language)</x:t>
        </x:is>
      </x:c>
      <x:c r="G1" s="22" t="inlineStr">
        <x:is>
          <x:t xml:space="preserve">Formula (Executable)</x:t>
        </x:is>
      </x:c>
      <x:c r="H1" s="22" t="inlineStr">
        <x:is>
          <x:t xml:space="preserve">Threshold Behavior</x:t>
        </x:is>
      </x:c>
      <x:c r="I1" s="22" t="inlineStr">
        <x:is>
          <x:t xml:space="preserve">Max / Cap</x:t>
        </x:is>
      </x:c>
      <x:c r="J1" s="22" t="inlineStr">
        <x:is>
          <x:t xml:space="preserve">Required Inputs</x:t>
        </x:is>
      </x:c>
      <x:c r="K1" s="22" t="inlineStr">
        <x:is>
          <x:t xml:space="preserve">Data Source System</x:t>
        </x:is>
      </x:c>
      <x:c r="L1" s="22" t="inlineStr">
        <x:is>
          <x:t xml:space="preserve">Data Snapshot Date</x:t>
        </x:is>
      </x:c>
      <x:c r="M1" s="22" t="inlineStr">
        <x:is>
          <x:t xml:space="preserve">Data Owner</x:t>
        </x:is>
      </x:c>
      <x:c r="N1" s="22" t="inlineStr">
        <x:is>
          <x:t xml:space="preserve">Legal Authority (Citation)</x:t>
        </x:is>
      </x:c>
      <x:c r="O1" s="22" t="inlineStr">
        <x:is>
          <x:t xml:space="preserve">Citation URL</x:t>
        </x:is>
      </x:c>
      <x:c r="P1" s="22" t="inlineStr">
        <x:is>
          <x:t xml:space="preserve">Legal Text Snapshot Date</x:t>
        </x:is>
      </x:c>
      <x:c r="Q1" s="22" t="inlineStr">
        <x:is>
          <x:t xml:space="preserve">Fiscal Year Effective</x:t>
        </x:is>
      </x:c>
      <x:c r="R1" s="22" t="inlineStr">
        <x:is>
          <x:t xml:space="preserve">Business Owner</x:t>
        </x:is>
      </x:c>
      <x:c r="S1" s="22" t="inlineStr">
        <x:is>
          <x:t xml:space="preserve">Legal / Policy Approver</x:t>
        </x:is>
      </x:c>
      <x:c r="T1" s="22" t="inlineStr">
        <x:is>
          <x:t xml:space="preserve">Status</x:t>
        </x:is>
      </x:c>
      <x:c r="U1" s="22" t="inlineStr">
        <x:is>
          <x:t xml:space="preserve">Status Date</x:t>
        </x:is>
      </x:c>
      <x:c r="V1" s="22" t="inlineStr">
        <x:is>
          <x:t xml:space="preserve">Reconciliation Target</x:t>
        </x:is>
      </x:c>
      <x:c r="W1" s="22" t="inlineStr">
        <x:is>
          <x:t xml:space="preserve">Boundary Test Cases</x:t>
        </x:is>
      </x:c>
      <x:c r="X1" s="22" t="inlineStr">
        <x:is>
          <x:t xml:space="preserve">Related Rule IDs</x:t>
        </x:is>
      </x:c>
      <x:c r="Y1" s="22" t="inlineStr">
        <x:is>
          <x:t xml:space="preserve">Notes / Open Questions</x:t>
        </x:is>
      </x:c>
    </x:row>
    <x:row r="2" s="76" customFormat="1" ht="60" customHeight="1">
      <x:c r="A2" s="23" t="inlineStr">
        <x:is>
          <x:t xml:space="preserve">BR2-001</x:t>
        </x:is>
      </x:c>
      <x:c r="B2" s="23" t="inlineStr">
        <x:is>
          <x:t xml:space="preserve">Regular — K-3</x:t>
        </x:is>
      </x:c>
      <x:c r="C2" s="23" t="inlineStr">
        <x:is>
          <x:t xml:space="preserve">School</x:t>
        </x:is>
      </x:c>
      <x:c r="D2" s="23" t="inlineStr">
        <x:is>
          <x:t xml:space="preserve">District &amp; Charter</x:t>
        </x:is>
      </x:c>
      <x:c r="E2" s="23" t="inlineStr">
        <x:is>
          <x:t xml:space="preserve">Unit</x:t>
        </x:is>
      </x:c>
      <x:c r="F2" s="23" t="inlineStr">
        <x:is>
          <x:t xml:space="preserve">1 Division I position per 16.2 students (K-3 Regular Education).</x:t>
        </x:is>
      </x:c>
      <x:c r="G2" s="23" t="inlineStr">
        <x:is>
          <x:t xml:space="preserve">k3_enrollment / 16.2</x:t>
        </x:is>
      </x:c>
      <x:c r="H2" s="23" t="inlineStr">
        <x:is>
          <x:t xml:space="preserve">None — continuous</x:t>
        </x:is>
      </x:c>
      <x:c r="I2" s="23" t="inlineStr">
        <x:is>
          <x:t xml:space="preserve">None</x:t>
        </x:is>
      </x:c>
      <x:c r="J2" s="23" t="inlineStr">
        <x:is>
          <x:t xml:space="preserve">K-3 enrollment count</x:t>
        </x:is>
      </x:c>
      <x:c r="K2" s="23" t="inlineStr">
        <x:is>
          <x:t xml:space="preserve">Hybrid Funding Formula Calculator for 25-26 w Charter version 05152026.xlsm — Data sheet col C; Calculator sheet B6</x:t>
        </x:is>
      </x:c>
      <x:c r="L2" s="101" t="n">
        <x:v>46157</x:v>
      </x:c>
      <x:c r="M2" s="24" t="inlineStr">
        <x:is>
          <x:t xml:space="preserve">DDOE (reference workbook)</x:t>
        </x:is>
      </x:c>
      <x:c r="N2" s="23" t="inlineStr">
        <x:is>
          <x:t xml:space="preserve">14 Del. C. § 1703(a): 'unit' or 'unit of pupils' schedule -- (1) Preschool Basic Special Education 8.4; (2) K-3 Regular Education 16.2; (3) 4-12 Regular Education 20; (4) K-12 Basic Special Education (Basic) 8.4; (5) Pre-K-12 Intensive Special Education (Intensive) 6; (6) Pre-K-12 Complex Special Education (Complex) 2.6. Provided by Zoey 2026-07-23; text snapshot taken from the statute as supplied, not independently re-verified against the Delaware Code website.</x:t>
        </x:is>
      </x:c>
      <x:c r="O2" s="23" t="inlineStr">
        <x:is>
          <x:t xml:space="preserve"/>
        </x:is>
      </x:c>
      <x:c r="P2" s="102" t="n">
        <x:v>46226</x:v>
      </x:c>
      <x:c r="Q2" s="24" t="inlineStr">
        <x:is>
          <x:t xml:space="preserve">FY2025-26</x:t>
        </x:is>
      </x:c>
      <x:c r="R2" s="24" t="inlineStr">
        <x:is>
          <x:t xml:space="preserve"/>
        </x:is>
      </x:c>
      <x:c r="S2" s="24" t="inlineStr">
        <x:is>
          <x:t xml:space="preserve"/>
        </x:is>
      </x:c>
      <x:c r="T2" s="23" t="inlineStr">
        <x:is>
          <x:t xml:space="preserve">Verified</x:t>
        </x:is>
      </x:c>
      <x:c r="U2" s="102" t="n">
        <x:v>46226</x:v>
      </x:c>
      <x:c r="V2" s="23" t="inlineStr">
        <x:is>
          <x:t xml:space="preserve">Data!C</x:t>
        </x:is>
      </x:c>
      <x:c r="W2" s="23" t="inlineStr">
        <x:is>
          <x:t xml:space="preserve">Appo/Bunker Hill Elem.: 271 K-3 -&gt; 16.728 units</x:t>
        </x:is>
      </x:c>
      <x:c r="X2" s="23" t="inlineStr">
        <x:is>
          <x:t xml:space="preserve"/>
        </x:is>
      </x:c>
      <x:c r="Y2" s="23" t="inlineStr">
        <x:is>
          <x:t xml:space="preserve">Matches reference workbook exactly. No separate Pre-K bucket exists in the workbook — corrected 2026-07-22.</x:t>
        </x:is>
      </x:c>
    </x:row>
    <x:row r="3" s="76" customFormat="1" ht="60" customHeight="1">
      <x:c r="A3" s="23" t="inlineStr">
        <x:is>
          <x:t xml:space="preserve">BR2-002</x:t>
        </x:is>
      </x:c>
      <x:c r="B3" s="23" t="inlineStr">
        <x:is>
          <x:t xml:space="preserve">Regular — 4-12</x:t>
        </x:is>
      </x:c>
      <x:c r="C3" s="23" t="inlineStr">
        <x:is>
          <x:t xml:space="preserve">School</x:t>
        </x:is>
      </x:c>
      <x:c r="D3" s="23" t="inlineStr">
        <x:is>
          <x:t xml:space="preserve">District &amp; Charter</x:t>
        </x:is>
      </x:c>
      <x:c r="E3" s="23" t="inlineStr">
        <x:is>
          <x:t xml:space="preserve">Unit</x:t>
        </x:is>
      </x:c>
      <x:c r="F3" s="23" t="inlineStr">
        <x:is>
          <x:t xml:space="preserve">1 Division I position per 20 students (4-12 Regular Education).</x:t>
        </x:is>
      </x:c>
      <x:c r="G3" s="23" t="inlineStr">
        <x:is>
          <x:t xml:space="preserve">g412_enrollment / 20</x:t>
        </x:is>
      </x:c>
      <x:c r="H3" s="23" t="inlineStr">
        <x:is>
          <x:t xml:space="preserve">None — continuous</x:t>
        </x:is>
      </x:c>
      <x:c r="I3" s="23" t="inlineStr">
        <x:is>
          <x:t xml:space="preserve">None</x:t>
        </x:is>
      </x:c>
      <x:c r="J3" s="23" t="inlineStr">
        <x:is>
          <x:t xml:space="preserve">4-12 enrollment count</x:t>
        </x:is>
      </x:c>
      <x:c r="K3" s="23" t="inlineStr">
        <x:is>
          <x:t xml:space="preserve">Hybrid Funding Formula Calculator for 25-26 w Charter version 05152026.xlsm — Data sheet col D; Calculator sheet B7</x:t>
        </x:is>
      </x:c>
      <x:c r="L3" s="101" t="n">
        <x:v>46157</x:v>
      </x:c>
      <x:c r="M3" s="24" t="inlineStr">
        <x:is>
          <x:t xml:space="preserve">DDOE (reference workbook)</x:t>
        </x:is>
      </x:c>
      <x:c r="N3" s="23" t="inlineStr">
        <x:is>
          <x:t xml:space="preserve">14 Del. C. § 1703(a): 'unit' or 'unit of pupils' schedule -- (1) Preschool Basic Special Education 8.4; (2) K-3 Regular Education 16.2; (3) 4-12 Regular Education 20; (4) K-12 Basic Special Education (Basic) 8.4; (5) Pre-K-12 Intensive Special Education (Intensive) 6; (6) Pre-K-12 Complex Special Education (Complex) 2.6. Provided by Zoey 2026-07-23; text snapshot taken from the statute as supplied, not independently re-verified against the Delaware Code website.</x:t>
        </x:is>
      </x:c>
      <x:c r="O3" s="23" t="inlineStr">
        <x:is>
          <x:t xml:space="preserve"/>
        </x:is>
      </x:c>
      <x:c r="P3" s="102" t="n">
        <x:v>46226</x:v>
      </x:c>
      <x:c r="Q3" s="24" t="inlineStr">
        <x:is>
          <x:t xml:space="preserve">FY2025-26</x:t>
        </x:is>
      </x:c>
      <x:c r="R3" s="24" t="inlineStr">
        <x:is>
          <x:t xml:space="preserve"/>
        </x:is>
      </x:c>
      <x:c r="S3" s="24" t="inlineStr">
        <x:is>
          <x:t xml:space="preserve"/>
        </x:is>
      </x:c>
      <x:c r="T3" s="23" t="inlineStr">
        <x:is>
          <x:t xml:space="preserve">Verified</x:t>
        </x:is>
      </x:c>
      <x:c r="U3" s="102" t="n">
        <x:v>46226</x:v>
      </x:c>
      <x:c r="V3" s="23" t="inlineStr">
        <x:is>
          <x:t xml:space="preserve">Data!D</x:t>
        </x:is>
      </x:c>
      <x:c r="W3" s="23" t="inlineStr">
        <x:is>
          <x:t xml:space="preserve">Appo/Bunker Hill Elem.: 179 4-12 -&gt; 8.95 units</x:t>
        </x:is>
      </x:c>
      <x:c r="X3" s="23" t="inlineStr">
        <x:is>
          <x:t xml:space="preserve"/>
        </x:is>
      </x:c>
      <x:c r="Y3" s="23" t="inlineStr">
        <x:is>
          <x:t xml:space="preserve">Matches reference workbook exactly.</x:t>
        </x:is>
      </x:c>
    </x:row>
    <x:row r="4" s="76" customFormat="1" ht="60" customHeight="1">
      <x:c r="A4" s="23" t="inlineStr">
        <x:is>
          <x:t xml:space="preserve">BR2-003</x:t>
        </x:is>
      </x:c>
      <x:c r="B4" s="23" t="inlineStr">
        <x:is>
          <x:t xml:space="preserve">Basic — Pre-K-12</x:t>
        </x:is>
      </x:c>
      <x:c r="C4" s="23" t="inlineStr">
        <x:is>
          <x:t xml:space="preserve">School</x:t>
        </x:is>
      </x:c>
      <x:c r="D4" s="23" t="inlineStr">
        <x:is>
          <x:t xml:space="preserve">District &amp; Charter</x:t>
        </x:is>
      </x:c>
      <x:c r="E4" s="23" t="inlineStr">
        <x:is>
          <x:t xml:space="preserve">Unit</x:t>
        </x:is>
      </x:c>
      <x:c r="F4" s="23" t="inlineStr">
        <x:is>
          <x:t xml:space="preserve">1 Division I position per 8.4 students. Statutorily this rate covers TWO distinct categories -- (1) Preschool Basic Special Education and (4) K-12 Basic Special Education -- both at the same 8.4 divisor, which is exactly why the reference workbook can combine them into one 'Basic -- Pre-K-12' line without any loss: they're the same rate under two different eligibility definitions in the same statute, not one category omitting the other.</x:t>
        </x:is>
      </x:c>
      <x:c r="G4" s="23" t="inlineStr">
        <x:is>
          <x:t xml:space="preserve">basic_enrollment / 8.4</x:t>
        </x:is>
      </x:c>
      <x:c r="H4" s="23" t="inlineStr">
        <x:is>
          <x:t xml:space="preserve">None — continuous</x:t>
        </x:is>
      </x:c>
      <x:c r="I4" s="23" t="inlineStr">
        <x:is>
          <x:t xml:space="preserve">None</x:t>
        </x:is>
      </x:c>
      <x:c r="J4" s="23" t="inlineStr">
        <x:is>
          <x:t xml:space="preserve">Basic special ed enrollment count</x:t>
        </x:is>
      </x:c>
      <x:c r="K4" s="23" t="inlineStr">
        <x:is>
          <x:t xml:space="preserve">Hybrid Funding Formula Calculator for 25-26 w Charter version 05152026.xlsm — Data sheet col E</x:t>
        </x:is>
      </x:c>
      <x:c r="L4" s="101" t="n">
        <x:v>46157</x:v>
      </x:c>
      <x:c r="M4" s="24" t="inlineStr">
        <x:is>
          <x:t xml:space="preserve">DDOE (reference workbook)</x:t>
        </x:is>
      </x:c>
      <x:c r="N4" s="23" t="inlineStr">
        <x:is>
          <x:t xml:space="preserve">14 Del. C. § 1703(a): 'unit' or 'unit of pupils' schedule -- (1) Preschool Basic Special Education 8.4; (2) K-3 Regular Education 16.2; (3) 4-12 Regular Education 20; (4) K-12 Basic Special Education (Basic) 8.4; (5) Pre-K-12 Intensive Special Education (Intensive) 6; (6) Pre-K-12 Complex Special Education (Complex) 2.6. Provided by Zoey 2026-07-23; text snapshot taken from the statute as supplied, not independently re-verified against the Delaware Code website.</x:t>
        </x:is>
      </x:c>
      <x:c r="O4" s="23" t="inlineStr">
        <x:is>
          <x:t xml:space="preserve"/>
        </x:is>
      </x:c>
      <x:c r="P4" s="102" t="n">
        <x:v>46226</x:v>
      </x:c>
      <x:c r="Q4" s="24" t="inlineStr">
        <x:is>
          <x:t xml:space="preserve">FY2025-26</x:t>
        </x:is>
      </x:c>
      <x:c r="R4" s="24" t="inlineStr">
        <x:is>
          <x:t xml:space="preserve"/>
        </x:is>
      </x:c>
      <x:c r="S4" s="24" t="inlineStr">
        <x:is>
          <x:t xml:space="preserve"/>
        </x:is>
      </x:c>
      <x:c r="T4" s="23" t="inlineStr">
        <x:is>
          <x:t xml:space="preserve">Verified</x:t>
        </x:is>
      </x:c>
      <x:c r="U4" s="102" t="n">
        <x:v>46226</x:v>
      </x:c>
      <x:c r="V4" s="23" t="inlineStr">
        <x:is>
          <x:t xml:space="preserve">Data!E</x:t>
        </x:is>
      </x:c>
      <x:c r="W4" s="23" t="inlineStr">
        <x:is>
          <x:t xml:space="preserve"/>
        </x:is>
      </x:c>
      <x:c r="X4" s="23" t="inlineStr">
        <x:is>
          <x:t xml:space="preserve"/>
        </x:is>
      </x:c>
      <x:c r="Y4" s="23" t="inlineStr">
        <x:is>
          <x:t xml:space="preserve">Spans Pre-K through 12 — there is no separate Pre-K bucket. Corrected 2026-07-22 (previously modeled as a standalone Pre-K category, which does not exist in the reference workbook). UPDATED 2026-07-23 with statutory text: confirms no separate Pre-K bucket is needed for SPECIAL EDUCATION preschoolers -- they're already inside this Basic line at the same 8.4 rate as K-12 Basic, per 14 Del. C. Sec 1703(a)(1)+(4). This is a DIFFERENT population from PEFC's proposed Regular Pre-K rule in the New Rule Updates tab (BR2-PROPOSED-PREK), which would fund general-education preschoolers -- a population Sec 1703 does not define a unit for at all. Do not conflate the two: current law only covers special-education preschoolers (already handled here); PEFC's proposal would be genuinely new.</x:t>
        </x:is>
      </x:c>
    </x:row>
    <x:row r="5" s="76" customFormat="1" ht="60" customHeight="1">
      <x:c r="A5" s="23" t="inlineStr">
        <x:is>
          <x:t xml:space="preserve">BR2-004</x:t>
        </x:is>
      </x:c>
      <x:c r="B5" s="23" t="inlineStr">
        <x:is>
          <x:t xml:space="preserve">Intense — Pre-K-12</x:t>
        </x:is>
      </x:c>
      <x:c r="C5" s="23" t="inlineStr">
        <x:is>
          <x:t xml:space="preserve">School</x:t>
        </x:is>
      </x:c>
      <x:c r="D5" s="23" t="inlineStr">
        <x:is>
          <x:t xml:space="preserve">District &amp; Charter</x:t>
        </x:is>
      </x:c>
      <x:c r="E5" s="23" t="inlineStr">
        <x:is>
          <x:t xml:space="preserve">Unit</x:t>
        </x:is>
      </x:c>
      <x:c r="F5" s="23" t="inlineStr">
        <x:is>
          <x:t xml:space="preserve">1 Division I position per 6 students (Pre-K-12 Intensive Special Education).</x:t>
        </x:is>
      </x:c>
      <x:c r="G5" s="23" t="inlineStr">
        <x:is>
          <x:t xml:space="preserve">intense_enrollment / 6</x:t>
        </x:is>
      </x:c>
      <x:c r="H5" s="23" t="inlineStr">
        <x:is>
          <x:t xml:space="preserve">None — continuous</x:t>
        </x:is>
      </x:c>
      <x:c r="I5" s="23" t="inlineStr">
        <x:is>
          <x:t xml:space="preserve">None</x:t>
        </x:is>
      </x:c>
      <x:c r="J5" s="23" t="inlineStr">
        <x:is>
          <x:t xml:space="preserve">Intensive special ed enrollment count</x:t>
        </x:is>
      </x:c>
      <x:c r="K5" s="23" t="inlineStr">
        <x:is>
          <x:t xml:space="preserve">Hybrid Funding Formula Calculator for 25-26 w Charter version 05152026.xlsm — Data sheet col F</x:t>
        </x:is>
      </x:c>
      <x:c r="L5" s="101" t="n">
        <x:v>46157</x:v>
      </x:c>
      <x:c r="M5" s="24" t="inlineStr">
        <x:is>
          <x:t xml:space="preserve">DDOE (reference workbook)</x:t>
        </x:is>
      </x:c>
      <x:c r="N5" s="23" t="inlineStr">
        <x:is>
          <x:t xml:space="preserve">14 Del. C. § 1703(a): 'unit' or 'unit of pupils' schedule -- (1) Preschool Basic Special Education 8.4; (2) K-3 Regular Education 16.2; (3) 4-12 Regular Education 20; (4) K-12 Basic Special Education (Basic) 8.4; (5) Pre-K-12 Intensive Special Education (Intensive) 6; (6) Pre-K-12 Complex Special Education (Complex) 2.6. Provided by Zoey 2026-07-23; text snapshot taken from the statute as supplied, not independently re-verified against the Delaware Code website.</x:t>
        </x:is>
      </x:c>
      <x:c r="O5" s="23" t="inlineStr">
        <x:is>
          <x:t xml:space="preserve"/>
        </x:is>
      </x:c>
      <x:c r="P5" s="102" t="n">
        <x:v>46226</x:v>
      </x:c>
      <x:c r="Q5" s="24" t="inlineStr">
        <x:is>
          <x:t xml:space="preserve">FY2025-26</x:t>
        </x:is>
      </x:c>
      <x:c r="R5" s="24" t="inlineStr">
        <x:is>
          <x:t xml:space="preserve"/>
        </x:is>
      </x:c>
      <x:c r="S5" s="24" t="inlineStr">
        <x:is>
          <x:t xml:space="preserve"/>
        </x:is>
      </x:c>
      <x:c r="T5" s="23" t="inlineStr">
        <x:is>
          <x:t xml:space="preserve">Verified</x:t>
        </x:is>
      </x:c>
      <x:c r="U5" s="102" t="n">
        <x:v>46226</x:v>
      </x:c>
      <x:c r="V5" s="23" t="inlineStr">
        <x:is>
          <x:t xml:space="preserve">Data!F</x:t>
        </x:is>
      </x:c>
      <x:c r="W5" s="23" t="inlineStr">
        <x:is>
          <x:t xml:space="preserve"/>
        </x:is>
      </x:c>
      <x:c r="X5" s="23" t="inlineStr">
        <x:is>
          <x:t xml:space="preserve"/>
        </x:is>
      </x:c>
      <x:c r="Y5" s="23" t="inlineStr">
        <x:is>
          <x:t xml:space="preserve">Spans Pre-K through 12.</x:t>
        </x:is>
      </x:c>
    </x:row>
    <x:row r="6" s="76" customFormat="1" ht="60" customHeight="1">
      <x:c r="A6" s="23" t="inlineStr">
        <x:is>
          <x:t xml:space="preserve">BR2-005</x:t>
        </x:is>
      </x:c>
      <x:c r="B6" s="23" t="inlineStr">
        <x:is>
          <x:t xml:space="preserve">Complex — Pre-K-12</x:t>
        </x:is>
      </x:c>
      <x:c r="C6" s="23" t="inlineStr">
        <x:is>
          <x:t xml:space="preserve">School</x:t>
        </x:is>
      </x:c>
      <x:c r="D6" s="23" t="inlineStr">
        <x:is>
          <x:t xml:space="preserve">District &amp; Charter</x:t>
        </x:is>
      </x:c>
      <x:c r="E6" s="23" t="inlineStr">
        <x:is>
          <x:t xml:space="preserve">Unit</x:t>
        </x:is>
      </x:c>
      <x:c r="F6" s="23" t="inlineStr">
        <x:is>
          <x:t xml:space="preserve">1 Division I position per 2.6 students (Pre-K-12 Complex Special Education).</x:t>
        </x:is>
      </x:c>
      <x:c r="G6" s="23" t="inlineStr">
        <x:is>
          <x:t xml:space="preserve">complex_enrollment / 2.6</x:t>
        </x:is>
      </x:c>
      <x:c r="H6" s="23" t="inlineStr">
        <x:is>
          <x:t xml:space="preserve">None — continuous</x:t>
        </x:is>
      </x:c>
      <x:c r="I6" s="23" t="inlineStr">
        <x:is>
          <x:t xml:space="preserve">None</x:t>
        </x:is>
      </x:c>
      <x:c r="J6" s="23" t="inlineStr">
        <x:is>
          <x:t xml:space="preserve">Complex special ed enrollment count</x:t>
        </x:is>
      </x:c>
      <x:c r="K6" s="23" t="inlineStr">
        <x:is>
          <x:t xml:space="preserve">Hybrid Funding Formula Calculator for 25-26 w Charter version 05152026.xlsm — Data sheet col G</x:t>
        </x:is>
      </x:c>
      <x:c r="L6" s="101" t="n">
        <x:v>46157</x:v>
      </x:c>
      <x:c r="M6" s="24" t="inlineStr">
        <x:is>
          <x:t xml:space="preserve">DDOE (reference workbook)</x:t>
        </x:is>
      </x:c>
      <x:c r="N6" s="23" t="inlineStr">
        <x:is>
          <x:t xml:space="preserve">14 Del. C. § 1703(a): 'unit' or 'unit of pupils' schedule -- (1) Preschool Basic Special Education 8.4; (2) K-3 Regular Education 16.2; (3) 4-12 Regular Education 20; (4) K-12 Basic Special Education (Basic) 8.4; (5) Pre-K-12 Intensive Special Education (Intensive) 6; (6) Pre-K-12 Complex Special Education (Complex) 2.6. Provided by Zoey 2026-07-23; text snapshot taken from the statute as supplied, not independently re-verified against the Delaware Code website.</x:t>
        </x:is>
      </x:c>
      <x:c r="O6" s="23" t="inlineStr">
        <x:is>
          <x:t xml:space="preserve"/>
        </x:is>
      </x:c>
      <x:c r="P6" s="102" t="n">
        <x:v>46226</x:v>
      </x:c>
      <x:c r="Q6" s="24" t="inlineStr">
        <x:is>
          <x:t xml:space="preserve">FY2025-26</x:t>
        </x:is>
      </x:c>
      <x:c r="R6" s="24" t="inlineStr">
        <x:is>
          <x:t xml:space="preserve"/>
        </x:is>
      </x:c>
      <x:c r="S6" s="24" t="inlineStr">
        <x:is>
          <x:t xml:space="preserve"/>
        </x:is>
      </x:c>
      <x:c r="T6" s="23" t="inlineStr">
        <x:is>
          <x:t xml:space="preserve">Verified</x:t>
        </x:is>
      </x:c>
      <x:c r="U6" s="102" t="n">
        <x:v>46226</x:v>
      </x:c>
      <x:c r="V6" s="23" t="inlineStr">
        <x:is>
          <x:t xml:space="preserve">Data!G</x:t>
        </x:is>
      </x:c>
      <x:c r="W6" s="23" t="inlineStr">
        <x:is>
          <x:t xml:space="preserve"/>
        </x:is>
      </x:c>
      <x:c r="X6" s="23" t="inlineStr">
        <x:is>
          <x:t xml:space="preserve"/>
        </x:is>
      </x:c>
      <x:c r="Y6" s="23" t="inlineStr">
        <x:is>
          <x:t xml:space="preserve">Spans Pre-K through 12.</x:t>
        </x:is>
      </x:c>
    </x:row>
    <x:row r="7" s="76" customFormat="1" ht="60" customHeight="1">
      <x:c r="A7" s="23" t="inlineStr">
        <x:is>
          <x:t xml:space="preserve">BR2-006</x:t>
        </x:is>
      </x:c>
      <x:c r="B7" s="23" t="inlineStr">
        <x:is>
          <x:t xml:space="preserve">Vocational Division I / Vocational Deduct</x:t>
        </x:is>
      </x:c>
      <x:c r="C7" s="23" t="inlineStr">
        <x:is>
          <x:t xml:space="preserve">School</x:t>
        </x:is>
      </x:c>
      <x:c r="D7" s="23" t="inlineStr">
        <x:is>
          <x:t xml:space="preserve">District &amp; Charter</x:t>
        </x:is>
      </x:c>
      <x:c r="E7" s="23" t="inlineStr">
        <x:is>
          <x:t xml:space="preserve">Unit</x:t>
        </x:is>
      </x:c>
      <x:c r="F7" s="23" t="inlineStr">
        <x:is>
          <x:t xml:space="preserve">CTE-derived positions added (Vocational Division I), then a 0.5-unit deduction applied (Vocational Deduct) — both pre-computed from a per-school CTE participation percentage.</x:t>
        </x:is>
      </x:c>
      <x:c r="G7" s="23" t="inlineStr">
        <x:is>
          <x:t xml:space="preserve">precomputed in workbook — not independently re-derived</x:t>
        </x:is>
      </x:c>
      <x:c r="H7" s="23" t="inlineStr">
        <x:is>
          <x:t xml:space="preserve">Unknown (precomputed)</x:t>
        </x:is>
      </x:c>
      <x:c r="I7" s="23" t="inlineStr">
        <x:is>
          <x:t xml:space="preserve">Unknown (precomputed)</x:t>
        </x:is>
      </x:c>
      <x:c r="J7" s="23" t="inlineStr">
        <x:is>
          <x:t xml:space="preserve">CTE participation % per school (CTE Data sheet)</x:t>
        </x:is>
      </x:c>
      <x:c r="K7" s="23" t="inlineStr">
        <x:is>
          <x:t xml:space="preserve">Hybrid Funding Formula Calculator for 25-26 w Charter version 05152026.xlsm — Data sheet cols J,K; CTE Data sheet</x:t>
        </x:is>
      </x:c>
      <x:c r="L7" s="101" t="n">
        <x:v>46157</x:v>
      </x:c>
      <x:c r="M7" s="24" t="inlineStr">
        <x:is>
          <x:t xml:space="preserve">DDOE (reference workbook)</x:t>
        </x:is>
      </x:c>
      <x:c r="N7" s="23" t="inlineStr">
        <x:is>
          <x:t xml:space="preserve">Title 14 Del. C. §1703 (Vocational unit provisions; formula chain not independently verified against statute)</x:t>
        </x:is>
      </x:c>
      <x:c r="O7" s="23" t="inlineStr">
        <x:is>
          <x:t xml:space="preserve"/>
        </x:is>
      </x:c>
      <x:c r="P7" s="24" t="inlineStr">
        <x:is>
          <x:t xml:space="preserve"/>
        </x:is>
      </x:c>
      <x:c r="Q7" s="24" t="inlineStr">
        <x:is>
          <x:t xml:space="preserve">FY2025-26</x:t>
        </x:is>
      </x:c>
      <x:c r="R7" s="24" t="inlineStr">
        <x:is>
          <x:t xml:space="preserve"/>
        </x:is>
      </x:c>
      <x:c r="S7" s="24" t="inlineStr">
        <x:is>
          <x:t xml:space="preserve"/>
        </x:is>
      </x:c>
      <x:c r="T7" s="23" t="inlineStr">
        <x:is>
          <x:t xml:space="preserve">Verified (value) / Open (formula)</x:t>
        </x:is>
      </x:c>
      <x:c r="U7" s="102" t="n">
        <x:v>46225</x:v>
      </x:c>
      <x:c r="V7" s="23" t="inlineStr">
        <x:is>
          <x:t xml:space="preserve">Data!J, Data!K</x:t>
        </x:is>
      </x:c>
      <x:c r="W7" s="23" t="inlineStr">
        <x:is>
          <x:t xml:space="preserve"/>
        </x:is>
      </x:c>
      <x:c r="X7" s="23" t="inlineStr">
        <x:is>
          <x:t xml:space="preserve"/>
        </x:is>
      </x:c>
      <x:c r="Y7" s="23" t="inlineStr">
        <x:is>
          <x:t xml:space="preserve">The calculator pulls these as precomputed values rather than re-deriving the CTE participation-percentage chain, to avoid introducing a new error. The underlying formula from CTE% to Vocational Division I/Deduct units is not independently verified — open item.</x:t>
        </x:is>
      </x:c>
    </x:row>
    <x:row r="8" s="76" customFormat="1" ht="60" customHeight="1">
      <x:c r="A8" s="23" t="inlineStr">
        <x:is>
          <x:t xml:space="preserve">BR2-007</x:t>
        </x:is>
      </x:c>
      <x:c r="B8" s="23" t="inlineStr">
        <x:is>
          <x:t xml:space="preserve">Principal</x:t>
        </x:is>
      </x:c>
      <x:c r="C8" s="23" t="inlineStr">
        <x:is>
          <x:t xml:space="preserve">School</x:t>
        </x:is>
      </x:c>
      <x:c r="D8" s="23" t="inlineStr">
        <x:is>
          <x:t xml:space="preserve">District &amp; Charter</x:t>
        </x:is>
      </x:c>
      <x:c r="E8" s="23" t="inlineStr">
        <x:is>
          <x:t xml:space="preserve">Position</x:t>
        </x:is>
      </x:c>
      <x:c r="F8" s="23" t="inlineStr">
        <x:is>
          <x:t xml:space="preserve">1 position per school with combined Division I units at/above some threshold (precomputed in reference workbook)</x:t>
        </x:is>
      </x:c>
      <x:c r="G8" s="23" t="inlineStr">
        <x:is>
          <x:t xml:space="preserve">precomputed in workbook — not independently re-derived</x:t>
        </x:is>
      </x:c>
      <x:c r="H8" s="23" t="inlineStr">
        <x:is>
          <x:t xml:space="preserve">Unknown — see notes</x:t>
        </x:is>
      </x:c>
      <x:c r="I8" s="23" t="inlineStr">
        <x:is>
          <x:t xml:space="preserve">Unknown</x:t>
        </x:is>
      </x:c>
      <x:c r="J8" s="23" t="inlineStr">
        <x:is>
          <x:t xml:space="preserve">Division I units (combined)</x:t>
        </x:is>
      </x:c>
      <x:c r="K8" s="23" t="inlineStr">
        <x:is>
          <x:t xml:space="preserve">Hybrid Funding Formula Calculator for 25-26 w Charter version 05152026.xlsm — Data sheet col O</x:t>
        </x:is>
      </x:c>
      <x:c r="L8" s="101" t="n">
        <x:v>46157</x:v>
      </x:c>
      <x:c r="M8" s="24" t="inlineStr">
        <x:is>
          <x:t xml:space="preserve">DDOE (reference workbook)</x:t>
        </x:is>
      </x:c>
      <x:c r="N8" s="23" t="inlineStr">
        <x:is>
          <x:t xml:space="preserve">Title 14 Del. C. §1305/§1316 (Principal position and salary; formula not reconciled to workbook)</x:t>
        </x:is>
      </x:c>
      <x:c r="O8" s="23" t="inlineStr">
        <x:is>
          <x:t xml:space="preserve"/>
        </x:is>
      </x:c>
      <x:c r="P8" s="24" t="inlineStr">
        <x:is>
          <x:t xml:space="preserve"/>
        </x:is>
      </x:c>
      <x:c r="Q8" s="24" t="inlineStr">
        <x:is>
          <x:t xml:space="preserve">FY2025-26</x:t>
        </x:is>
      </x:c>
      <x:c r="R8" s="24" t="inlineStr">
        <x:is>
          <x:t xml:space="preserve"/>
        </x:is>
      </x:c>
      <x:c r="S8" s="24" t="inlineStr">
        <x:is>
          <x:t xml:space="preserve"/>
        </x:is>
      </x:c>
      <x:c r="T8" s="23" t="inlineStr">
        <x:is>
          <x:t xml:space="preserve">Verified (value) / Open (formula)</x:t>
        </x:is>
      </x:c>
      <x:c r="U8" s="102" t="n">
        <x:v>46225</x:v>
      </x:c>
      <x:c r="V8" s="23" t="inlineStr">
        <x:is>
          <x:t xml:space="preserve">Data!O</x:t>
        </x:is>
      </x:c>
      <x:c r="W8" s="23" t="inlineStr">
        <x:is>
          <x:t xml:space="preserve">9 of 259 real schools have 0 Principals despite up to 14 combined units — driven by administrative classification (early-childhood centers, ILCs, off-base programs), not size alone.</x:t>
        </x:is>
      </x:c>
      <x:c r="X8" s="23" t="inlineStr">
        <x:is>
          <x:t xml:space="preserve"/>
        </x:is>
      </x:c>
      <x:c r="Y8" s="23" t="inlineStr">
        <x:is>
          <x:t xml:space="preserve">OPEN: no verified closed-form formula exists — even the reference workbook stores this as a precomputed value, not a formula. Empirically, Principal does not cleanly correlate with size alone; it depends on the building's administrative classification. The calculator's What-If tab uses a pattern-derived, type-specific threshold (fit against all 259 real schools) and labels it explicitly as an estimate, not an entitlement calculation. Superseded 2026-07-22 the earlier, statute-derived version of this rule (&gt;=15 units, single global threshold).</x:t>
        </x:is>
      </x:c>
    </x:row>
    <x:row r="9" s="76" customFormat="1" ht="60" customHeight="1">
      <x:c r="A9" s="23" t="inlineStr">
        <x:is>
          <x:t xml:space="preserve">BR2-008</x:t>
        </x:is>
      </x:c>
      <x:c r="B9" s="23" t="inlineStr">
        <x:is>
          <x:t xml:space="preserve">Assistant Principal</x:t>
        </x:is>
      </x:c>
      <x:c r="C9" s="23" t="inlineStr">
        <x:is>
          <x:t xml:space="preserve">School</x:t>
        </x:is>
      </x:c>
      <x:c r="D9" s="23" t="inlineStr">
        <x:is>
          <x:t xml:space="preserve">District &amp; Charter</x:t>
        </x:is>
      </x:c>
      <x:c r="E9" s="23" t="inlineStr">
        <x:is>
          <x:t xml:space="preserve">Position</x:t>
        </x:is>
      </x:c>
      <x:c r="F9" s="23" t="inlineStr">
        <x:is>
          <x:t xml:space="preserve">Stepped formula based on Division I units + Instructional Supports + Admin Support Professionals, rounded DOWN to a whole position — the workbook's ROUNDDOWN() strips the statutory 0.65 fractional-position credit.</x:t>
        </x:is>
      </x:c>
      <x:c r="G9" s="23" t="inlineStr">
        <x:is>
          <x:t xml:space="preserve">precomputed in workbook — not independently re-derived</x:t>
        </x:is>
      </x:c>
      <x:c r="H9" s="23" t="inlineStr">
        <x:is>
          <x:t xml:space="preserve">Steps at roughly every 16 combined units above ~23 (pattern-derived estimate)</x:t>
        </x:is>
      </x:c>
      <x:c r="I9" s="23" t="inlineStr">
        <x:is>
          <x:t xml:space="preserve">Unknown</x:t>
        </x:is>
      </x:c>
      <x:c r="J9" s="23" t="inlineStr">
        <x:is>
          <x:t xml:space="preserve">Division I units + Instructional Supports + Admin Support Professionals</x:t>
        </x:is>
      </x:c>
      <x:c r="K9" s="23" t="inlineStr">
        <x:is>
          <x:t xml:space="preserve">Hybrid Funding Formula Calculator for 25-26 w Charter version 05152026.xlsm — Data sheet col P</x:t>
        </x:is>
      </x:c>
      <x:c r="L9" s="101" t="n">
        <x:v>46157</x:v>
      </x:c>
      <x:c r="M9" s="24" t="inlineStr">
        <x:is>
          <x:t xml:space="preserve">DDOE (reference workbook)</x:t>
        </x:is>
      </x:c>
      <x:c r="N9" s="23" t="inlineStr">
        <x:is>
          <x:t xml:space="preserve">Title 14 Del. C. §1305 (AP position and salary; statutory 0.65 fractional credit at 25-&lt;30 and 50-&lt;55 units is NOT preserved in the reference workbook)</x:t>
        </x:is>
      </x:c>
      <x:c r="O9" s="23" t="inlineStr">
        <x:is>
          <x:t xml:space="preserve"/>
        </x:is>
      </x:c>
      <x:c r="P9" s="24" t="inlineStr">
        <x:is>
          <x:t xml:space="preserve"/>
        </x:is>
      </x:c>
      <x:c r="Q9" s="24" t="inlineStr">
        <x:is>
          <x:t xml:space="preserve">FY2025-26</x:t>
        </x:is>
      </x:c>
      <x:c r="R9" s="24" t="inlineStr">
        <x:is>
          <x:t xml:space="preserve"/>
        </x:is>
      </x:c>
      <x:c r="S9" s="24" t="inlineStr">
        <x:is>
          <x:t xml:space="preserve"/>
        </x:is>
      </x:c>
      <x:c r="T9" s="23" t="inlineStr">
        <x:is>
          <x:t xml:space="preserve">Verified (value) / Open (formula)</x:t>
        </x:is>
      </x:c>
      <x:c r="U9" s="102" t="n">
        <x:v>46225</x:v>
      </x:c>
      <x:c r="V9" s="23" t="inlineStr">
        <x:is>
          <x:t xml:space="preserve">Data!P</x:t>
        </x:is>
      </x:c>
      <x:c r="W9" s="23" t="inlineStr">
        <x:is>
          <x:t xml:space="preserve"/>
        </x:is>
      </x:c>
      <x:c r="X9" s="23" t="inlineStr">
        <x:is>
          <x:t xml:space="preserve"/>
        </x:is>
      </x:c>
      <x:c r="Y9" s="23" t="inlineStr">
        <x:is>
          <x:t xml:space="preserve">OPEN: no verified closed-form formula. Pattern-derived estimate (linear fit across 259 real schools): ap = floor((units-23)/16)+1 for units&gt;=23, else 0 — fits real data well but is not a confirmed statutory or workbook rule. Superseded 2026-07-22 the earlier statute-derived fractional-credit version, which the workbook does not preserve.</x:t>
        </x:is>
      </x:c>
    </x:row>
    <x:row r="10" s="76" customFormat="1" ht="60" customHeight="1">
      <x:c r="A10" s="23" t="inlineStr">
        <x:is>
          <x:t xml:space="preserve">BR2-009</x:t>
        </x:is>
      </x:c>
      <x:c r="B10" s="23" t="inlineStr">
        <x:is>
          <x:t xml:space="preserve">Administrative Support Professionals</x:t>
        </x:is>
      </x:c>
      <x:c r="C10" s="23" t="inlineStr">
        <x:is>
          <x:t xml:space="preserve">School</x:t>
        </x:is>
      </x:c>
      <x:c r="D10" s="23" t="inlineStr">
        <x:is>
          <x:t xml:space="preserve">District &amp; Charter</x:t>
        </x:is>
      </x:c>
      <x:c r="E10" s="23" t="inlineStr">
        <x:is>
          <x:t xml:space="preserve">Position</x:t>
        </x:is>
      </x:c>
      <x:c r="F10" s="23" t="inlineStr">
        <x:is>
          <x:t xml:space="preserve">Tiered: roughly 1 per 8.8 combined Division I units for the first ~100 units, then roughly 1 per 12 thereafter (pattern-derived estimate; register previously described this as '1 per 10 for first 100, then 1 per 12').</x:t>
        </x:is>
      </x:c>
      <x:c r="G10" s="23" t="inlineStr">
        <x:is>
          <x:t xml:space="preserve">precomputed in workbook — not independently re-derived</x:t>
        </x:is>
      </x:c>
      <x:c r="H10" s="23" t="inlineStr">
        <x:is>
          <x:t xml:space="preserve">Tier break around 100 combined units</x:t>
        </x:is>
      </x:c>
      <x:c r="I10" s="23" t="inlineStr">
        <x:is>
          <x:t xml:space="preserve">Unknown</x:t>
        </x:is>
      </x:c>
      <x:c r="J10" s="23" t="inlineStr">
        <x:is>
          <x:t xml:space="preserve">Division I units (combined)</x:t>
        </x:is>
      </x:c>
      <x:c r="K10" s="23" t="inlineStr">
        <x:is>
          <x:t xml:space="preserve">Hybrid Funding Formula Calculator for 25-26 w Charter version 05152026.xlsm — Data sheet col R</x:t>
        </x:is>
      </x:c>
      <x:c r="L10" s="101" t="n">
        <x:v>46157</x:v>
      </x:c>
      <x:c r="M10" s="24" t="inlineStr">
        <x:is>
          <x:t xml:space="preserve">DDOE (reference workbook)</x:t>
        </x:is>
      </x:c>
      <x:c r="N10" s="23" t="inlineStr">
        <x:is>
          <x:t xml:space="preserve">Title 14 Del. C. §1308(a) (Administrative/financial/senior secretaries &amp; clerks salary schedule; unit-count formula not reconciled)</x:t>
        </x:is>
      </x:c>
      <x:c r="O10" s="23" t="inlineStr">
        <x:is>
          <x:t xml:space="preserve"/>
        </x:is>
      </x:c>
      <x:c r="P10" s="24" t="inlineStr">
        <x:is>
          <x:t xml:space="preserve"/>
        </x:is>
      </x:c>
      <x:c r="Q10" s="24" t="inlineStr">
        <x:is>
          <x:t xml:space="preserve">FY2025-26</x:t>
        </x:is>
      </x:c>
      <x:c r="R10" s="24" t="inlineStr">
        <x:is>
          <x:t xml:space="preserve"/>
        </x:is>
      </x:c>
      <x:c r="S10" s="24" t="inlineStr">
        <x:is>
          <x:t xml:space="preserve"/>
        </x:is>
      </x:c>
      <x:c r="T10" s="23" t="inlineStr">
        <x:is>
          <x:t xml:space="preserve">Verified (value) / Open (formula)</x:t>
        </x:is>
      </x:c>
      <x:c r="U10" s="102" t="n">
        <x:v>46225</x:v>
      </x:c>
      <x:c r="V10" s="23" t="inlineStr">
        <x:is>
          <x:t xml:space="preserve">Data!R</x:t>
        </x:is>
      </x:c>
      <x:c r="W10" s="23" t="inlineStr">
        <x:is>
          <x:t xml:space="preserve"/>
        </x:is>
      </x:c>
      <x:c r="X10" s="23" t="inlineStr">
        <x:is>
          <x:t xml:space="preserve"/>
        </x:is>
      </x:c>
      <x:c r="Y10" s="23" t="inlineStr">
        <x:is>
          <x:t xml:space="preserve">OPEN: no verified closed-form formula — precomputed in the reference workbook. Pattern-derived tiered estimate used in the What-If tab, explicitly labeled as an estimate.</x:t>
        </x:is>
      </x:c>
    </x:row>
    <x:row r="11" s="76" customFormat="1" ht="60" customHeight="1">
      <x:c r="A11" s="23" t="inlineStr">
        <x:is>
          <x:t xml:space="preserve">BR2-010</x:t>
        </x:is>
      </x:c>
      <x:c r="B11" s="23" t="inlineStr">
        <x:is>
          <x:t xml:space="preserve">Instructional Supports</x:t>
        </x:is>
      </x:c>
      <x:c r="C11" s="23" t="inlineStr">
        <x:is>
          <x:t xml:space="preserve">School</x:t>
        </x:is>
      </x:c>
      <x:c r="D11" s="23" t="inlineStr">
        <x:is>
          <x:t xml:space="preserve">District &amp; Charter</x:t>
        </x:is>
      </x:c>
      <x:c r="E11" s="23" t="inlineStr">
        <x:is>
          <x:t xml:space="preserve">Position</x:t>
        </x:is>
      </x:c>
      <x:c r="F11" s="23" t="inlineStr">
        <x:is>
          <x:t xml:space="preserve">20% of Division I positions earned — a single line that stands in for Nursing, Driver's Ed, Mental Health, Related Services, Academic Excellence, etc.</x:t>
        </x:is>
      </x:c>
      <x:c r="G11" s="23" t="inlineStr">
        <x:is>
          <x:t xml:space="preserve">div1_units * 0.20</x:t>
        </x:is>
      </x:c>
      <x:c r="H11" s="23" t="inlineStr">
        <x:is>
          <x:t xml:space="preserve">None — continuous</x:t>
        </x:is>
      </x:c>
      <x:c r="I11" s="23" t="inlineStr">
        <x:is>
          <x:t xml:space="preserve">None</x:t>
        </x:is>
      </x:c>
      <x:c r="J11" s="23" t="inlineStr">
        <x:is>
          <x:t xml:space="preserve">Division I units (combined)</x:t>
        </x:is>
      </x:c>
      <x:c r="K11" s="23" t="inlineStr">
        <x:is>
          <x:t xml:space="preserve">Hybrid Funding Formula Calculator for 25-26 w Charter version 05152026.xlsm — Data sheet col Q</x:t>
        </x:is>
      </x:c>
      <x:c r="L11" s="101" t="n">
        <x:v>46157</x:v>
      </x:c>
      <x:c r="M11" s="24" t="inlineStr">
        <x:is>
          <x:t xml:space="preserve">DDOE (reference workbook)</x:t>
        </x:is>
      </x:c>
      <x:c r="N11" s="23" t="inlineStr">
        <x:is>
          <x:t xml:space="preserve">Not individually cited — this is a structural simplification the reference workbook uses in place of the individual statutory positions below</x:t>
        </x:is>
      </x:c>
      <x:c r="O11" s="23" t="inlineStr">
        <x:is>
          <x:t xml:space="preserve"/>
        </x:is>
      </x:c>
      <x:c r="P11" s="24" t="inlineStr">
        <x:is>
          <x:t xml:space="preserve"/>
        </x:is>
      </x:c>
      <x:c r="Q11" s="24" t="inlineStr">
        <x:is>
          <x:t xml:space="preserve">FY2025-26</x:t>
        </x:is>
      </x:c>
      <x:c r="R11" s="24" t="inlineStr">
        <x:is>
          <x:t xml:space="preserve"/>
        </x:is>
      </x:c>
      <x:c r="S11" s="24" t="inlineStr">
        <x:is>
          <x:t xml:space="preserve"/>
        </x:is>
      </x:c>
      <x:c r="T11" s="23" t="inlineStr">
        <x:is>
          <x:t xml:space="preserve">Verified</x:t>
        </x:is>
      </x:c>
      <x:c r="U11" s="102" t="n">
        <x:v>46225</x:v>
      </x:c>
      <x:c r="V11" s="23" t="inlineStr">
        <x:is>
          <x:t xml:space="preserve">Data!Q</x:t>
        </x:is>
      </x:c>
      <x:c r="W11" s="23" t="inlineStr">
        <x:is>
          <x:t xml:space="preserve"/>
        </x:is>
      </x:c>
      <x:c r="X11" s="23" t="inlineStr">
        <x:is>
          <x:t xml:space="preserve">BR-014,BR-027,BR-028</x:t>
        </x:is>
      </x:c>
      <x:c r="Y11" s="23" t="inlineStr">
        <x:is>
          <x:t xml:space="preserve">Replaces the individually-modeled School Nurse (BR-014/BR-015), 10-Month Visiting Teacher (BR-027), and Driver Education Teacher (BR-028) formulas this Rule Register previously carried, none of which appear as separate lines in the reference workbook. Corrected 2026-07-22.</x:t>
        </x:is>
      </x:c>
    </x:row>
    <x:row r="12" s="76" customFormat="1" ht="60" customHeight="1">
      <x:c r="A12" s="23" t="inlineStr">
        <x:is>
          <x:t xml:space="preserve">BR2-011</x:t>
        </x:is>
      </x:c>
      <x:c r="B12" s="23" t="inlineStr">
        <x:is>
          <x:t xml:space="preserve">Superintendent</x:t>
        </x:is>
      </x:c>
      <x:c r="C12" s="23" t="inlineStr">
        <x:is>
          <x:t xml:space="preserve">LEA / Statewide</x:t>
        </x:is>
      </x:c>
      <x:c r="D12" s="23" t="inlineStr">
        <x:is>
          <x:t xml:space="preserve">District &amp; Charter</x:t>
        </x:is>
      </x:c>
      <x:c r="E12" s="23" t="inlineStr">
        <x:is>
          <x:t xml:space="preserve">Position</x:t>
        </x:is>
      </x:c>
      <x:c r="F12" s="23" t="inlineStr">
        <x:is>
          <x:t xml:space="preserve">1 per independent LEA (19 districts + 24 charters = 43); 0 for an individual school; 0 for Dover Air Force Base (not an independent LEA); 43 when Statewide is selected.</x:t>
        </x:is>
      </x:c>
      <x:c r="G12" s="23" t="inlineStr">
        <x:is>
          <x:t xml:space="preserve">coMode==='lea' ? 1 : (coMode==='statewide' ? 43 : 0)</x:t>
        </x:is>
      </x:c>
      <x:c r="H12" s="23" t="inlineStr">
        <x:is>
          <x:t xml:space="preserve">None</x:t>
        </x:is>
      </x:c>
      <x:c r="I12" s="23" t="inlineStr">
        <x:is>
          <x:t xml:space="preserve">None</x:t>
        </x:is>
      </x:c>
      <x:c r="J12" s="23" t="inlineStr">
        <x:is>
          <x:t xml:space="preserve">LEA scope selection</x:t>
        </x:is>
      </x:c>
      <x:c r="K12" s="23" t="inlineStr">
        <x:is>
          <x:t xml:space="preserve">Hybrid Funding Formula Calculator for 25-26 w Charter version 05152026.xlsm — Calculator sheet (Statewide hardcodes 43)</x:t>
        </x:is>
      </x:c>
      <x:c r="L12" s="101" t="n">
        <x:v>46157</x:v>
      </x:c>
      <x:c r="M12" s="24" t="inlineStr">
        <x:is>
          <x:t xml:space="preserve">DDOE (reference workbook)</x:t>
        </x:is>
      </x:c>
      <x:c r="N12" s="23" t="inlineStr">
        <x:is>
          <x:t xml:space="preserve">Title 14 Del. C. §1305/§1316 (Superintendent position and salary; not charged against personnel allotment)</x:t>
        </x:is>
      </x:c>
      <x:c r="O12" s="23" t="inlineStr">
        <x:is>
          <x:t xml:space="preserve"/>
        </x:is>
      </x:c>
      <x:c r="P12" s="24" t="inlineStr">
        <x:is>
          <x:t xml:space="preserve"/>
        </x:is>
      </x:c>
      <x:c r="Q12" s="24" t="inlineStr">
        <x:is>
          <x:t xml:space="preserve">FY2025-26</x:t>
        </x:is>
      </x:c>
      <x:c r="R12" s="24" t="inlineStr">
        <x:is>
          <x:t xml:space="preserve"/>
        </x:is>
      </x:c>
      <x:c r="S12" s="24" t="inlineStr">
        <x:is>
          <x:t xml:space="preserve"/>
        </x:is>
      </x:c>
      <x:c r="T12" s="23" t="inlineStr">
        <x:is>
          <x:t xml:space="preserve">Verified</x:t>
        </x:is>
      </x:c>
      <x:c r="U12" s="102" t="n">
        <x:v>46225</x:v>
      </x:c>
      <x:c r="V12" s="23" t="inlineStr">
        <x:is>
          <x:t xml:space="preserve">Calculator!Statewide row</x:t>
        </x:is>
      </x:c>
      <x:c r="W12" s="23" t="inlineStr">
        <x:is>
          <x:t xml:space="preserve">Statewide = 43, matching the reference workbook's own hardcoded value exactly.</x:t>
        </x:is>
      </x:c>
      <x:c r="X12" s="23" t="inlineStr">
        <x:is>
          <x:t xml:space="preserve"/>
        </x:is>
      </x:c>
      <x:c r="Y12" s="23" t="inlineStr">
        <x:is>
          <x:t xml:space="preserve">Corrected 2026-07-22: an earlier version of this calculator computed a dynamic Statewide count of 44 by misclassifying Dover Air Force Base as a charter LEA. Delaware has 43 independent LEAs (19 districts + 24 charters); DAFB is not one of them — its own Assistant Superintendent/Director fields are 0 in the reference data.</x:t>
        </x:is>
      </x:c>
    </x:row>
    <x:row r="13" s="76" customFormat="1" ht="60" customHeight="1">
      <x:c r="A13" s="23" t="inlineStr">
        <x:is>
          <x:t xml:space="preserve">BR2-012</x:t>
        </x:is>
      </x:c>
      <x:c r="B13" s="23" t="inlineStr">
        <x:is>
          <x:t xml:space="preserve">Administrative Assistant</x:t>
        </x:is>
      </x:c>
      <x:c r="C13" s="23" t="inlineStr">
        <x:is>
          <x:t xml:space="preserve">LEA / Statewide</x:t>
        </x:is>
      </x:c>
      <x:c r="D13" s="23" t="inlineStr">
        <x:is>
          <x:t xml:space="preserve">District &amp; Charter</x:t>
        </x:is>
      </x:c>
      <x:c r="E13" s="23" t="inlineStr">
        <x:is>
          <x:t xml:space="preserve">Position</x:t>
        </x:is>
      </x:c>
      <x:c r="F13" s="23" t="inlineStr">
        <x:is>
          <x:t xml:space="preserve">1 per independent LEA, same pattern as Superintendent.</x:t>
        </x:is>
      </x:c>
      <x:c r="G13" s="23" t="inlineStr">
        <x:is>
          <x:t xml:space="preserve">same as BR2-011</x:t>
        </x:is>
      </x:c>
      <x:c r="H13" s="23" t="inlineStr">
        <x:is>
          <x:t xml:space="preserve">None</x:t>
        </x:is>
      </x:c>
      <x:c r="I13" s="23" t="inlineStr">
        <x:is>
          <x:t xml:space="preserve">None</x:t>
        </x:is>
      </x:c>
      <x:c r="J13" s="23" t="inlineStr">
        <x:is>
          <x:t xml:space="preserve">LEA scope selection</x:t>
        </x:is>
      </x:c>
      <x:c r="K13" s="23" t="inlineStr">
        <x:is>
          <x:t xml:space="preserve">Hybrid Funding Formula Calculator for 25-26 w Charter version 05152026.xlsm — Calculator sheet</x:t>
        </x:is>
      </x:c>
      <x:c r="L13" s="101" t="n">
        <x:v>46157</x:v>
      </x:c>
      <x:c r="M13" s="24" t="inlineStr">
        <x:is>
          <x:t xml:space="preserve">DDOE (reference workbook)</x:t>
        </x:is>
      </x:c>
      <x:c r="N13" s="23" t="inlineStr">
        <x:is>
          <x:t xml:space="preserve">Title 14 Del. C. §1308 (citation pending — not yet reconciled to a specific subsection)</x:t>
        </x:is>
      </x:c>
      <x:c r="O13" s="23" t="inlineStr">
        <x:is>
          <x:t xml:space="preserve"/>
        </x:is>
      </x:c>
      <x:c r="P13" s="24" t="inlineStr">
        <x:is>
          <x:t xml:space="preserve"/>
        </x:is>
      </x:c>
      <x:c r="Q13" s="24" t="inlineStr">
        <x:is>
          <x:t xml:space="preserve">FY2025-26</x:t>
        </x:is>
      </x:c>
      <x:c r="R13" s="24" t="inlineStr">
        <x:is>
          <x:t xml:space="preserve"/>
        </x:is>
      </x:c>
      <x:c r="S13" s="24" t="inlineStr">
        <x:is>
          <x:t xml:space="preserve"/>
        </x:is>
      </x:c>
      <x:c r="T13" s="23" t="inlineStr">
        <x:is>
          <x:t xml:space="preserve">Business rule confirmed</x:t>
        </x:is>
      </x:c>
      <x:c r="U13" s="102" t="n">
        <x:v>46225</x:v>
      </x:c>
      <x:c r="V13" s="23" t="inlineStr">
        <x:is>
          <x:t xml:space="preserve">Calculator!Statewide row</x:t>
        </x:is>
      </x:c>
      <x:c r="W13" s="23" t="inlineStr">
        <x:is>
          <x:t xml:space="preserve"/>
        </x:is>
      </x:c>
      <x:c r="X13" s="23" t="inlineStr">
        <x:is>
          <x:t xml:space="preserve">BR2-011</x:t>
        </x:is>
      </x:c>
      <x:c r="Y13" s="23" t="inlineStr">
        <x:is>
          <x:t xml:space="preserve">Legal citation still pending; matches reference workbook logic.</x:t>
        </x:is>
      </x:c>
    </x:row>
    <x:row r="14" s="76" customFormat="1" ht="60" customHeight="1">
      <x:c r="A14" s="23" t="inlineStr">
        <x:is>
          <x:t xml:space="preserve">BR2-013</x:t>
        </x:is>
      </x:c>
      <x:c r="B14" s="23" t="inlineStr">
        <x:is>
          <x:t xml:space="preserve">Assistant Superintendent</x:t>
        </x:is>
      </x:c>
      <x:c r="C14" s="23" t="inlineStr">
        <x:is>
          <x:t xml:space="preserve">LEA (computed once from the LEA-wide combined base, NOT per-school-then-summed)</x:t>
        </x:is>
      </x:c>
      <x:c r="D14" s="23" t="inlineStr">
        <x:is>
          <x:t xml:space="preserve">District only (charters = 0, per PEFC New Rule Updates confirmed rule)</x:t>
        </x:is>
      </x:c>
      <x:c r="E14" s="23" t="inlineStr">
        <x:is>
          <x:t xml:space="preserve">Position</x:t>
        </x:is>
      </x:c>
      <x:c r="F14" s="23" t="inlineStr">
        <x:is>
          <x:t xml:space="preserve">1 position per 300 combined LEA-wide units (Division I + Principal + AP + Instructional Supports + Admin Support Professionals), computed ONCE for the whole LEA — NOT per school. Max 2. District LEAs only; charter LEAs receive 0.</x:t>
        </x:is>
      </x:c>
      <x:c r="G14" s="23" t="inlineStr">
        <x:is>
          <x:t xml:space="preserve">leaType==='district' ? min(2, max(0, 1+(leaWideBase-300)/300)) : 0, where leaWideBase&lt;300 =&gt; 0. Continuous (fractional), NOT floored -- confirmed 2026-07-24 against real Data!S values, which are themselves fractional (e.g. Lake: base=409.81 -&gt; 1.37; Milford: base=454.97 -&gt; 1.52; NCCVT: base=537.21 -&gt; 1.79; Seaford: base=387.74 -&gt; 1.29), matching a continuous formula to within ~0.004 and ruling out a floored/integer formula.</x:t>
        </x:is>
      </x:c>
      <x:c r="H14" s="23" t="inlineStr">
        <x:is>
          <x:t xml:space="preserve">300 combined LEA-wide units</x:t>
        </x:is>
      </x:c>
      <x:c r="I14" s="23" t="inlineStr">
        <x:is>
          <x:t xml:space="preserve">2 per LEA</x:t>
        </x:is>
      </x:c>
      <x:c r="J14" s="23" t="inlineStr">
        <x:is>
          <x:t xml:space="preserve">LEA-wide Division I units + Principal + AP + Instructional Supports + Admin Support Professionals</x:t>
        </x:is>
      </x:c>
      <x:c r="K14" s="23" t="inlineStr">
        <x:is>
          <x:t xml:space="preserve">Hybrid Funding Formula Calculator for 25-26 w Charter version 05152026.xlsm — Data sheet col S</x:t>
        </x:is>
      </x:c>
      <x:c r="L14" s="101" t="n">
        <x:v>46157</x:v>
      </x:c>
      <x:c r="M14" s="24" t="inlineStr">
        <x:is>
          <x:t xml:space="preserve">DDOE (reference workbook)</x:t>
        </x:is>
      </x:c>
      <x:c r="N14" s="23" t="inlineStr">
        <x:is>
          <x:t xml:space="preserve">Title 14 Del. C. §1305 (Assistant Superintendent position and salary; formula not fully reconciled to statute)</x:t>
        </x:is>
      </x:c>
      <x:c r="O14" s="23" t="inlineStr">
        <x:is>
          <x:t xml:space="preserve"/>
        </x:is>
      </x:c>
      <x:c r="P14" s="24" t="inlineStr">
        <x:is>
          <x:t xml:space="preserve"/>
        </x:is>
      </x:c>
      <x:c r="Q14" s="24" t="inlineStr">
        <x:is>
          <x:t xml:space="preserve">FY2025-26</x:t>
        </x:is>
      </x:c>
      <x:c r="R14" s="24" t="inlineStr">
        <x:is>
          <x:t xml:space="preserve"/>
        </x:is>
      </x:c>
      <x:c r="S14" s="24" t="inlineStr">
        <x:is>
          <x:t xml:space="preserve"/>
        </x:is>
      </x:c>
      <x:c r="T14" s="23" t="inlineStr">
        <x:is>
          <x:t xml:space="preserve">Open discrepancy</x:t>
        </x:is>
      </x:c>
      <x:c r="U14" s="102" t="n">
        <x:v>46227</x:v>
      </x:c>
      <x:c r="V14" s="23" t="inlineStr">
        <x:is>
          <x:t xml:space="preserve">Data!S</x:t>
        </x:is>
      </x:c>
      <x:c r="W14" s="23" t="inlineStr">
        <x:is>
          <x:t xml:space="preserve">Statewide: 25.97 positions, $4,359,272.26 at current rate</x:t>
        </x:is>
      </x:c>
      <x:c r="X14" s="23" t="inlineStr">
        <x:is>
          <x:t xml:space="preserve"/>
        </x:is>
      </x:c>
      <x:c r="Y14" s="23" t="inlineStr">
        <x:is>
          <x:t xml:space="preserve">CORRECTED 2026-07-23: verified against all 19 district aggregate rows in the reference data — the mechanism is computed ONCE from the LEA-wide combined base, not per-school-then-summed as this Rule Register previously stated (that claim was wrong; every individual school's own Assistant Superintendent field is 0). District-only eligibility (charters = 0) follows the New Rule Updates tab's explicit claim; this could not be independently confirmed or refuted from real data because no charter LEA's combined base reaches 300 units yet (highest is Newark Charter at ~286). Note: Director, which uses the identical LEA-wide mechanism, IS empirically confirmed to apply to charters (Newark Charter: 286 units -&gt; 1 Director) — so the district-only rule for Assistant Superintendent specifically is an asymmetry worth confirming with DDOE, not something this dataset can settle on its own. CORRECTED 2026-07-24: the Formula (Executable) field previously stated floor((leaWideBase-300)/300), which was wrong -- verified against all 14 district aggregate rows with a nonzero Assistant Superintendent value, the real Data!S values are fractional (1.29, 1.37, 1.52, 1.79, etc.), not integers, which rules out a floor/step function. The continuous formula (no floor) matches real data to within ~0.004 (attributable to rounding in the underlying position counts), while a floored formula would produce integer-only results that do not match. Director (BR2-014), which shares the identical leaWideBase mechanism, genuinely IS floored -- confirmed exact integer matches against all district and charter aggregate rows -- so these two positions are computed differently (Assistant Superintendent continuous, Director floored) even though they share the same input base. This is a real, verified distinction, not an inconsistency to resolve. UNRESOLVED CONFLICT flagged 2026-07-24: PEFC New Rule Updates (row 7/8) and the Formula Technical Reference sheet statute paraphrase (rows 18/29) both describe this base as "Division I state units" alone -- not the combined leaWideBase used here. Tested directly against all district (and, for Director, charter) aggregate rows: pure Division I units do NOT reproduce the real workbook output (e.g. Lake: 298.18 Division I units alone implies 0 Assistant Superintendent positions / floor gives only 1 Director, but real values are 1.37 and 3 respectively), while leaWideBase matches exactly (Director) or within ~0.004 (Assistant Superintendent). This calculator matches what the real workbook actually computes, which conflicts with what PEFC/statute documentation says the formula should be -- a genuine open discrepancy between stated policy and current practice, not something this project can resolve unilaterally. Status downgraded to reflect this.</x:t>
        </x:is>
      </x:c>
    </x:row>
    <x:row r="15" s="76" customFormat="1" ht="60" customHeight="1">
      <x:c r="A15" s="23" t="inlineStr">
        <x:is>
          <x:t xml:space="preserve">BR2-014</x:t>
        </x:is>
      </x:c>
      <x:c r="B15" s="23" t="inlineStr">
        <x:is>
          <x:t xml:space="preserve">Director</x:t>
        </x:is>
      </x:c>
      <x:c r="C15" s="23" t="inlineStr">
        <x:is>
          <x:t xml:space="preserve">LEA (computed once from the LEA-wide combined base, NOT per-school-then-summed)</x:t>
        </x:is>
      </x:c>
      <x:c r="D15" s="23" t="inlineStr">
        <x:is>
          <x:t xml:space="preserve">District &amp; Charter</x:t>
        </x:is>
      </x:c>
      <x:c r="E15" s="23" t="inlineStr">
        <x:is>
          <x:t xml:space="preserve">Position</x:t>
        </x:is>
      </x:c>
      <x:c r="F15" s="23" t="inlineStr">
        <x:is>
          <x:t xml:space="preserve">1 position for the first 200 combined LEA-wide units (Division I + Principal + AP + Instructional Supports + Admin Support Professionals) + 1 per additional full 100 units, computed ONCE for the whole LEA — NOT per school. Max 6. Applies to both District and Charter LEAs.</x:t>
        </x:is>
      </x:c>
      <x:c r="G15" s="23" t="inlineStr">
        <x:is>
          <x:t xml:space="preserve">leaWideBase&lt;200 ? 0 : min(6, 1+floor((leaWideBase-200)/100))</x:t>
        </x:is>
      </x:c>
      <x:c r="H15" s="23" t="inlineStr">
        <x:is>
          <x:t xml:space="preserve">200 combined units</x:t>
        </x:is>
      </x:c>
      <x:c r="I15" s="23" t="inlineStr">
        <x:is>
          <x:t xml:space="preserve">6 per LEA</x:t>
        </x:is>
      </x:c>
      <x:c r="J15" s="23" t="inlineStr">
        <x:is>
          <x:t xml:space="preserve">Division I units + Principal + AP + Instructional Supports + Admin Support Professionals, per school</x:t>
        </x:is>
      </x:c>
      <x:c r="K15" s="23" t="inlineStr">
        <x:is>
          <x:t xml:space="preserve">Hybrid Funding Formula Calculator for 25-26 w Charter version 05152026.xlsm — Data sheet col T</x:t>
        </x:is>
      </x:c>
      <x:c r="L15" s="101" t="n">
        <x:v>46157</x:v>
      </x:c>
      <x:c r="M15" s="24" t="inlineStr">
        <x:is>
          <x:t xml:space="preserve">DDOE (reference workbook)</x:t>
        </x:is>
      </x:c>
      <x:c r="N15" s="23" t="inlineStr">
        <x:is>
          <x:t xml:space="preserve">Title 14 Del. C. §1305 (Director position and salary; formula not fully reconciled to statute)</x:t>
        </x:is>
      </x:c>
      <x:c r="O15" s="23" t="inlineStr">
        <x:is>
          <x:t xml:space="preserve"/>
        </x:is>
      </x:c>
      <x:c r="P15" s="24" t="inlineStr">
        <x:is>
          <x:t xml:space="preserve"/>
        </x:is>
      </x:c>
      <x:c r="Q15" s="24" t="inlineStr">
        <x:is>
          <x:t xml:space="preserve">FY2025-26</x:t>
        </x:is>
      </x:c>
      <x:c r="R15" s="24" t="inlineStr">
        <x:is>
          <x:t xml:space="preserve"/>
        </x:is>
      </x:c>
      <x:c r="S15" s="24" t="inlineStr">
        <x:is>
          <x:t xml:space="preserve"/>
        </x:is>
      </x:c>
      <x:c r="T15" s="23" t="inlineStr">
        <x:is>
          <x:t xml:space="preserve">Open discrepancy</x:t>
        </x:is>
      </x:c>
      <x:c r="U15" s="102" t="n">
        <x:v>46227</x:v>
      </x:c>
      <x:c r="V15" s="23" t="inlineStr">
        <x:is>
          <x:t xml:space="preserve">Data!T</x:t>
        </x:is>
      </x:c>
      <x:c r="W15" s="23" t="inlineStr">
        <x:is>
          <x:t xml:space="preserve">Statewide: 75 positions</x:t>
        </x:is>
      </x:c>
      <x:c r="X15" s="23" t="inlineStr">
        <x:is>
          <x:t xml:space="preserve">BR2-013</x:t>
        </x:is>
      </x:c>
      <x:c r="Y15" s="23" t="inlineStr">
        <x:is>
          <x:t xml:space="preserve">CORRECTED 2026-07-23: verified against all 19 district AND 24 charter aggregate rows — matches the LEA-wide formula exactly for every district (e.g. NCCVT: 537.21 units -&gt; 4 Directors), and confirms charter eligibility empirically (Newark Charter: 286.08 units -&gt; 1 Director; Odyssey Charter: 223.00 units -&gt; 1 Director). This Rule Register previously described this as per-school-then-summed, which was wrong — every individual school's own Director field is 0; the real number only exists on the LEA aggregate row. UNRESOLVED CONFLICT flagged 2026-07-24: PEFC New Rule Updates (row 7/8) and the Formula Technical Reference sheet statute paraphrase (rows 18/29) both describe this base as "Division I state units" alone -- not the combined leaWideBase used here. Tested directly against all district (and, for Director, charter) aggregate rows: pure Division I units do NOT reproduce the real workbook output (e.g. Lake: 298.18 Division I units alone implies 0 Assistant Superintendent positions / floor gives only 1 Director, but real values are 1.37 and 3 respectively), while leaWideBase matches exactly (Director) or within ~0.004 (Assistant Superintendent). This calculator matches what the real workbook actually computes, which conflicts with what PEFC/statute documentation says the formula should be -- a genuine open discrepancy between stated policy and current practice, not something this project can resolve unilaterally. Status downgraded to reflect this.</x:t>
        </x:is>
      </x:c>
    </x:row>
    <x:row r="16" s="76" customFormat="1" ht="60" customHeight="1">
      <x:c r="A16" s="23" t="inlineStr">
        <x:is>
          <x:t xml:space="preserve">BR2-015</x:t>
        </x:is>
      </x:c>
      <x:c r="B16" s="23" t="inlineStr">
        <x:is>
          <x:t xml:space="preserve">11-Month Supervisor</x:t>
        </x:is>
      </x:c>
      <x:c r="C16" s="23" t="inlineStr">
        <x:is>
          <x:t xml:space="preserve">LEA / Statewide</x:t>
        </x:is>
      </x:c>
      <x:c r="D16" s="23" t="inlineStr">
        <x:is>
          <x:t xml:space="preserve">District &amp; Charter</x:t>
        </x:is>
      </x:c>
      <x:c r="E16" s="23" t="inlineStr">
        <x:is>
          <x:t xml:space="preserve">Position</x:t>
        </x:is>
      </x:c>
      <x:c r="F16" s="23" t="inlineStr">
        <x:is>
          <x:t xml:space="preserve">(Total Division I units + Principal + AP + Instructional Supports + Admin Support Professionals) / 150 for the selected LEA/Statewide row — continuous, no floor. 0 for an individual school.</x:t>
        </x:is>
      </x:c>
      <x:c r="G16" s="23" t="inlineStr">
        <x:is>
          <x:t xml:space="preserve">d17 / 150 (continuous, no floor -- see Notes for the separate statute-literal floor reading tested in the What-If Model)</x:t>
        </x:is>
      </x:c>
      <x:c r="H16" s="23" t="inlineStr">
        <x:is>
          <x:t xml:space="preserve">None — continuous, no floor at any level</x:t>
        </x:is>
      </x:c>
      <x:c r="I16" s="23" t="inlineStr">
        <x:is>
          <x:t xml:space="preserve">None</x:t>
        </x:is>
      </x:c>
      <x:c r="J16" s="23" t="inlineStr">
        <x:is>
          <x:t xml:space="preserve">Combined LEA-wide unit total</x:t>
        </x:is>
      </x:c>
      <x:c r="K16" s="23" t="inlineStr">
        <x:is>
          <x:t xml:space="preserve">Hybrid Funding Formula Calculator for 25-26 w Charter version 05152026.xlsm — Calculator sheet</x:t>
        </x:is>
      </x:c>
      <x:c r="L16" s="101" t="n">
        <x:v>46157</x:v>
      </x:c>
      <x:c r="M16" s="24" t="inlineStr">
        <x:is>
          <x:t xml:space="preserve">DDOE (reference workbook)</x:t>
        </x:is>
      </x:c>
      <x:c r="N16" s="23" t="inlineStr">
        <x:is>
          <x:t xml:space="preserve">Title 14 Del. C. §1305 (11-Month Supervisor; statutory fractional-support language for districts below the first threshold does not appear as a floor in the reference workbook)</x:t>
        </x:is>
      </x:c>
      <x:c r="O16" s="23" t="inlineStr">
        <x:is>
          <x:t xml:space="preserve"/>
        </x:is>
      </x:c>
      <x:c r="P16" s="24" t="inlineStr">
        <x:is>
          <x:t xml:space="preserve"/>
        </x:is>
      </x:c>
      <x:c r="Q16" s="24" t="inlineStr">
        <x:is>
          <x:t xml:space="preserve">FY2025-26</x:t>
        </x:is>
      </x:c>
      <x:c r="R16" s="24" t="inlineStr">
        <x:is>
          <x:t xml:space="preserve"/>
        </x:is>
      </x:c>
      <x:c r="S16" s="24" t="inlineStr">
        <x:is>
          <x:t xml:space="preserve"/>
        </x:is>
      </x:c>
      <x:c r="T16" s="23" t="inlineStr">
        <x:is>
          <x:t xml:space="preserve">Verified</x:t>
        </x:is>
      </x:c>
      <x:c r="U16" s="102" t="n">
        <x:v>46227</x:v>
      </x:c>
      <x:c r="V16" s="23" t="inlineStr">
        <x:is>
          <x:t xml:space="preserve">Calculator!Statewide row</x:t>
        </x:is>
      </x:c>
      <x:c r="W16" s="23" t="inlineStr">
        <x:is>
          <x:t xml:space="preserve">Statewide: 107.77 positions</x:t>
        </x:is>
      </x:c>
      <x:c r="X16" s="23" t="inlineStr">
        <x:is>
          <x:t xml:space="preserve">BR2-018</x:t>
        </x:is>
      </x:c>
      <x:c r="Y16" s="23" t="inlineStr">
        <x:is>
          <x:t xml:space="preserve">Corrected 2026-07-22: an earlier version of this calculator applied a piecewise FLOOR at/above the first threshold, in response to a code review reading statute text literally. The reference workbook does no such thing — plain continuous division at every level, reverted. REVERSED 2026-07-24: previously stated as pure continuous division (d17/150, no floor ever). The statute paraphrase on the Formula Technical Reference sheet is explicit that fractional treatment ("the fractional part of the first supervisor") applies only below the first 150-unit threshold; at and above it, positions are whole (floored). Could not be independently re-verified against the real .xlsm this session -- the source workbook is not in the project folder -- so this correction rests on the statute text plus a prior verbal confirmation, not a fresh empirical check. CORRECTED AGAIN 2026-07-24: the 2026-07-24 floor revision above was wrong for THIS row, which governs the Locked Model (real workbook reproduction) -- this row's own Boundary Test Cases already state the real statewide reconciliation target as 107.77 positions, a fractional value only reachable via continuous division (floor(107.77)=107 does not match). Reverted Formula (Executable) back to continuous, matching the Locked Model and the boundary target. The statute-literal floor-above-threshold reading (149-&gt;0.99, 225-&gt;1) is real and worth testing, but belongs in the What-If Model as an explicit alternative interpretation of future/proposed rule text -- not as a description of what the current real workbook computes. Status restored to Verified since this now matches the workbook's own stated reconciliation target exactly.</x:t>
        </x:is>
      </x:c>
    </x:row>
    <x:row r="17" s="76" customFormat="1" ht="60" customHeight="1">
      <x:c r="A17" s="23" t="inlineStr">
        <x:is>
          <x:t xml:space="preserve">BR2-016</x:t>
        </x:is>
      </x:c>
      <x:c r="B17" s="23" t="inlineStr">
        <x:is>
          <x:t xml:space="preserve">Buildings &amp; Grounds Supervisor</x:t>
        </x:is>
      </x:c>
      <x:c r="C17" s="23" t="inlineStr">
        <x:is>
          <x:t xml:space="preserve">LEA / Statewide</x:t>
        </x:is>
      </x:c>
      <x:c r="D17" s="23" t="inlineStr">
        <x:is>
          <x:t xml:space="preserve">District &amp; Charter</x:t>
        </x:is>
      </x:c>
      <x:c r="E17" s="23" t="inlineStr">
        <x:is>
          <x:t xml:space="preserve">Position</x:t>
        </x:is>
      </x:c>
      <x:c r="F17" s="23" t="inlineStr">
        <x:is>
          <x:t xml:space="preserve">1 per independent LEA, same pattern as Superintendent.</x:t>
        </x:is>
      </x:c>
      <x:c r="G17" s="23" t="inlineStr">
        <x:is>
          <x:t xml:space="preserve">same as BR2-011</x:t>
        </x:is>
      </x:c>
      <x:c r="H17" s="23" t="inlineStr">
        <x:is>
          <x:t xml:space="preserve">None</x:t>
        </x:is>
      </x:c>
      <x:c r="I17" s="23" t="inlineStr">
        <x:is>
          <x:t xml:space="preserve">None</x:t>
        </x:is>
      </x:c>
      <x:c r="J17" s="23" t="inlineStr">
        <x:is>
          <x:t xml:space="preserve">LEA scope selection</x:t>
        </x:is>
      </x:c>
      <x:c r="K17" s="23" t="inlineStr">
        <x:is>
          <x:t xml:space="preserve">Hybrid Funding Formula Calculator for 25-26 w Charter version 05152026.xlsm — Calculator sheet</x:t>
        </x:is>
      </x:c>
      <x:c r="L17" s="101" t="n">
        <x:v>46157</x:v>
      </x:c>
      <x:c r="M17" s="24" t="inlineStr">
        <x:is>
          <x:t xml:space="preserve">DDOE (reference workbook)</x:t>
        </x:is>
      </x:c>
      <x:c r="N17" s="23" t="inlineStr">
        <x:is>
          <x:t xml:space="preserve">Title 14 Del. C. §1308 (citation pending)</x:t>
        </x:is>
      </x:c>
      <x:c r="O17" s="23" t="inlineStr">
        <x:is>
          <x:t xml:space="preserve"/>
        </x:is>
      </x:c>
      <x:c r="P17" s="24" t="inlineStr">
        <x:is>
          <x:t xml:space="preserve"/>
        </x:is>
      </x:c>
      <x:c r="Q17" s="24" t="inlineStr">
        <x:is>
          <x:t xml:space="preserve">FY2025-26</x:t>
        </x:is>
      </x:c>
      <x:c r="R17" s="24" t="inlineStr">
        <x:is>
          <x:t xml:space="preserve"/>
        </x:is>
      </x:c>
      <x:c r="S17" s="24" t="inlineStr">
        <x:is>
          <x:t xml:space="preserve"/>
        </x:is>
      </x:c>
      <x:c r="T17" s="23" t="inlineStr">
        <x:is>
          <x:t xml:space="preserve">Business rule confirmed</x:t>
        </x:is>
      </x:c>
      <x:c r="U17" s="102" t="n">
        <x:v>46225</x:v>
      </x:c>
      <x:c r="V17" s="23" t="inlineStr">
        <x:is>
          <x:t xml:space="preserve">Calculator!Statewide row</x:t>
        </x:is>
      </x:c>
      <x:c r="W17" s="23" t="inlineStr">
        <x:is>
          <x:t xml:space="preserve"/>
        </x:is>
      </x:c>
      <x:c r="X17" s="23" t="inlineStr">
        <x:is>
          <x:t xml:space="preserve">BR2-011</x:t>
        </x:is>
      </x:c>
      <x:c r="Y17" s="23" t="inlineStr">
        <x:is>
          <x:t xml:space="preserve">The old 95-building-unit threshold this Rule Register previously carried does not appear in the reference workbook. Corrected 2026-07-22.</x:t>
        </x:is>
      </x:c>
    </x:row>
    <x:row r="18" s="76" customFormat="1" ht="60" customHeight="1">
      <x:c r="A18" s="23" t="inlineStr">
        <x:is>
          <x:t xml:space="preserve">BR2-017</x:t>
        </x:is>
      </x:c>
      <x:c r="B18" s="23" t="inlineStr">
        <x:is>
          <x:t xml:space="preserve">Food Services Supervisor (LEA-level)</x:t>
        </x:is>
      </x:c>
      <x:c r="C18" s="23" t="inlineStr">
        <x:is>
          <x:t xml:space="preserve">LEA / Statewide</x:t>
        </x:is>
      </x:c>
      <x:c r="D18" s="23" t="inlineStr">
        <x:is>
          <x:t xml:space="preserve">District &amp; Charter</x:t>
        </x:is>
      </x:c>
      <x:c r="E18" s="23" t="inlineStr">
        <x:is>
          <x:t xml:space="preserve">Position</x:t>
        </x:is>
      </x:c>
      <x:c r="F18" s="23" t="inlineStr">
        <x:is>
          <x:t xml:space="preserve">1 position per LEA + 1 per additional full 500 Division I units beyond the first 500, computed ONCE for the whole LEA. Applies to District and Charter LEAs. 0 for an individual school (this is an LEA-level position, not a building-level one).</x:t>
        </x:is>
      </x:c>
      <x:c r="G18" s="23" t="inlineStr">
        <x:is>
          <x:t xml:space="preserve">1 + floor(max(0, leaWideTotalUnits-500)/500)</x:t>
        </x:is>
      </x:c>
      <x:c r="H18" s="23" t="inlineStr">
        <x:is>
          <x:t xml:space="preserve">500 LEA-wide Division I units</x:t>
        </x:is>
      </x:c>
      <x:c r="I18" s="23" t="inlineStr">
        <x:is>
          <x:t xml:space="preserve">None</x:t>
        </x:is>
      </x:c>
      <x:c r="J18" s="23" t="inlineStr">
        <x:is>
          <x:t xml:space="preserve">LEA-wide Total Division I Units</x:t>
        </x:is>
      </x:c>
      <x:c r="K18" s="23" t="inlineStr">
        <x:is>
          <x:t xml:space="preserve">Hybrid Funding Formula Calculator for 25-26 w Charter version 05152026.xlsm — Data sheet col U</x:t>
        </x:is>
      </x:c>
      <x:c r="L18" s="101" t="n">
        <x:v>46157</x:v>
      </x:c>
      <x:c r="M18" s="24" t="inlineStr">
        <x:is>
          <x:t xml:space="preserve">DDOE (reference workbook)</x:t>
        </x:is>
      </x:c>
      <x:c r="N18" s="23" t="inlineStr">
        <x:is>
          <x:t xml:space="preserve">Title 14 Del. C. §1308 (citation pending; old '&lt;500 units &amp; &gt;=4 lunch programs' rule this register previously carried does not match the observed data pattern)</x:t>
        </x:is>
      </x:c>
      <x:c r="O18" s="23" t="inlineStr">
        <x:is>
          <x:t xml:space="preserve"/>
        </x:is>
      </x:c>
      <x:c r="P18" s="24" t="inlineStr">
        <x:is>
          <x:t xml:space="preserve"/>
        </x:is>
      </x:c>
      <x:c r="Q18" s="24" t="inlineStr">
        <x:is>
          <x:t xml:space="preserve">FY2025-26</x:t>
        </x:is>
      </x:c>
      <x:c r="R18" s="24" t="inlineStr">
        <x:is>
          <x:t xml:space="preserve"/>
        </x:is>
      </x:c>
      <x:c r="S18" s="24" t="inlineStr">
        <x:is>
          <x:t xml:space="preserve"/>
        </x:is>
      </x:c>
      <x:c r="T18" s="23" t="inlineStr">
        <x:is>
          <x:t xml:space="preserve">Verified</x:t>
        </x:is>
      </x:c>
      <x:c r="U18" s="102" t="n">
        <x:v>46226</x:v>
      </x:c>
      <x:c r="V18" s="23" t="inlineStr">
        <x:is>
          <x:t xml:space="preserve">Data!U (LEA aggregate rows)</x:t>
        </x:is>
      </x:c>
      <x:c r="W18" s="23" t="inlineStr">
        <x:is>
          <x:t xml:space="preserve">Only 8/259 schools nonzero, all = 1</x:t>
        </x:is>
      </x:c>
      <x:c r="X18" s="23" t="inlineStr">
        <x:is>
          <x:t xml:space="preserve"/>
        </x:is>
      </x:c>
      <x:c r="Y18" s="23" t="inlineStr">
        <x:is>
          <x:t xml:space="preserve">CORRECTED 2026-07-23: this Rule Register previously marked this an open discrepancy based on checking the per-SCHOOL Food Service Supervisor field, which is genuinely near-always 0 (only 8/259 schools nonzero) because it's an LEA-level position, not a building-level one -- wrong granularity. Checked against all 43 LEA aggregate rows instead: 1 + floor(max(0,units-500)/500) matches every single one exactly (Appo: 1046.83 units -&gt; 2; Red Clay: 1238.46 -&gt; 2; every single-building charter -&gt; 1), confirming the New Rule Updates tab's proposed formula. A separate, still-genuinely-unresolved question remains at the individual-school level: which specific school within an LEA is the 'designated' food-service site is not derivable from enrollment (see BR2-017-SCHOOL note in the calculator's What-If tab).</x:t>
        </x:is>
      </x:c>
    </x:row>
    <x:row r="19" s="76" customFormat="1" ht="60" customHeight="1">
      <x:c r="A19" s="23" t="inlineStr">
        <x:is>
          <x:t xml:space="preserve">BR2-018</x:t>
        </x:is>
      </x:c>
      <x:c r="B19" s="23" t="inlineStr">
        <x:is>
          <x:t xml:space="preserve">Transportation Supervisor</x:t>
        </x:is>
      </x:c>
      <x:c r="C19" s="23" t="inlineStr">
        <x:is>
          <x:t xml:space="preserve">LEA / Statewide</x:t>
        </x:is>
      </x:c>
      <x:c r="D19" s="23" t="inlineStr">
        <x:is>
          <x:t xml:space="preserve">District &amp; Charter</x:t>
        </x:is>
      </x:c>
      <x:c r="E19" s="23" t="inlineStr">
        <x:is>
          <x:t xml:space="preserve">Position</x:t>
        </x:is>
      </x:c>
      <x:c r="F19" s="23" t="inlineStr">
        <x:is>
          <x:t xml:space="preserve">Enrollment / 7,500 for the selected LEA/Statewide row — continuous, no floor. 0 for an individual school.</x:t>
        </x:is>
      </x:c>
      <x:c r="G19" s="23" t="inlineStr">
        <x:is>
          <x:t xml:space="preserve">enrollment / 7500 (continuous, no floor -- see Notes for the separate statute-literal floor reading tested in the What-If Model)</x:t>
        </x:is>
      </x:c>
      <x:c r="H19" s="23" t="inlineStr">
        <x:is>
          <x:t xml:space="preserve">None — continuous, no floor at any level</x:t>
        </x:is>
      </x:c>
      <x:c r="I19" s="23" t="inlineStr">
        <x:is>
          <x:t xml:space="preserve">None</x:t>
        </x:is>
      </x:c>
      <x:c r="J19" s="23" t="inlineStr">
        <x:is>
          <x:t xml:space="preserve">Combined LEA-wide enrollment</x:t>
        </x:is>
      </x:c>
      <x:c r="K19" s="23" t="inlineStr">
        <x:is>
          <x:t xml:space="preserve">Hybrid Funding Formula Calculator for 25-26 w Charter version 05152026.xlsm — Calculator sheet</x:t>
        </x:is>
      </x:c>
      <x:c r="L19" s="101" t="n">
        <x:v>46157</x:v>
      </x:c>
      <x:c r="M19" s="24" t="inlineStr">
        <x:is>
          <x:t xml:space="preserve">DDOE (reference workbook)</x:t>
        </x:is>
      </x:c>
      <x:c r="N19" s="23" t="inlineStr">
        <x:is>
          <x:t xml:space="preserve">Title 14 Del. C. §1305 (Transportation Supervisor; statutory fractional-support language does not appear as a floor in the reference workbook)</x:t>
        </x:is>
      </x:c>
      <x:c r="O19" s="23" t="inlineStr">
        <x:is>
          <x:t xml:space="preserve"/>
        </x:is>
      </x:c>
      <x:c r="P19" s="24" t="inlineStr">
        <x:is>
          <x:t xml:space="preserve"/>
        </x:is>
      </x:c>
      <x:c r="Q19" s="24" t="inlineStr">
        <x:is>
          <x:t xml:space="preserve">FY2025-26</x:t>
        </x:is>
      </x:c>
      <x:c r="R19" s="24" t="inlineStr">
        <x:is>
          <x:t xml:space="preserve"/>
        </x:is>
      </x:c>
      <x:c r="S19" s="24" t="inlineStr">
        <x:is>
          <x:t xml:space="preserve"/>
        </x:is>
      </x:c>
      <x:c r="T19" s="23" t="inlineStr">
        <x:is>
          <x:t xml:space="preserve">Verified</x:t>
        </x:is>
      </x:c>
      <x:c r="U19" s="102" t="n">
        <x:v>46227</x:v>
      </x:c>
      <x:c r="V19" s="23" t="inlineStr">
        <x:is>
          <x:t xml:space="preserve">Calculator!Statewide row</x:t>
        </x:is>
      </x:c>
      <x:c r="W19" s="23" t="inlineStr">
        <x:is>
          <x:t xml:space="preserve">Statewide: 18.84 positions</x:t>
        </x:is>
      </x:c>
      <x:c r="X19" s="23" t="inlineStr">
        <x:is>
          <x:t xml:space="preserve">BR2-015</x:t>
        </x:is>
      </x:c>
      <x:c r="Y19" s="23" t="inlineStr">
        <x:is>
          <x:t xml:space="preserve">Same finding as 11-Month Supervisor — no floor logic anywhere in the reference workbook. Corrected 2026-07-22. REVERSED 2026-07-24 -- same reasoning as BR2-015: the statute text provides fractional treatment only for districts that "do not qualify for a transportation supervisor," implying floor above the first 7,500-enrollment threshold, not continuous growth. Not independently re-verified against the real .xlsm this session (file not in project folder). CORRECTED AGAIN 2026-07-24 -- same reasoning as BR2-015: this row's own Boundary Test Cases state the real statewide reconciliation target as 18.84 positions (fractional, only reachable via continuous division; floor(18.84)=18 does not match). Reverted to continuous, matching the Locked Model and the boundary target. The floor-above-threshold reading is tested separately in the What-If Model as an alternative proposed interpretation, not as a claim about the real workbook.</x:t>
        </x:is>
      </x:c>
    </x:row>
    <x:row r="20" s="76" customFormat="1" ht="60" customHeight="1">
      <x:c r="A20" s="23" t="inlineStr">
        <x:is>
          <x:t xml:space="preserve">BR-CO-009</x:t>
        </x:is>
      </x:c>
      <x:c r="B20" s="23" t="inlineStr">
        <x:is>
          <x:t xml:space="preserve">Reading Cadre (Literacy Cadre)</x:t>
        </x:is>
      </x:c>
      <x:c r="C20" s="23" t="inlineStr">
        <x:is>
          <x:t xml:space="preserve">LEA / Statewide</x:t>
        </x:is>
      </x:c>
      <x:c r="D20" s="23" t="inlineStr">
        <x:is>
          <x:t xml:space="preserve">District &amp; Charter</x:t>
        </x:is>
      </x:c>
      <x:c r="E20" s="23" t="inlineStr">
        <x:is>
          <x:t xml:space="preserve">Appropriation</x:t>
        </x:is>
      </x:c>
      <x:c r="F20" s="23" t="inlineStr">
        <x:is>
          <x:t xml:space="preserve">1 position per independent LEA, same pattern as Superintendent.</x:t>
        </x:is>
      </x:c>
      <x:c r="G20" s="23" t="inlineStr">
        <x:is>
          <x:t xml:space="preserve">same as BR2-011</x:t>
        </x:is>
      </x:c>
      <x:c r="H20" s="23" t="inlineStr">
        <x:is>
          <x:t xml:space="preserve">None</x:t>
        </x:is>
      </x:c>
      <x:c r="I20" s="23" t="inlineStr">
        <x:is>
          <x:t xml:space="preserve">None</x:t>
        </x:is>
      </x:c>
      <x:c r="J20" s="23" t="inlineStr">
        <x:is>
          <x:t xml:space="preserve">LEA scope selection</x:t>
        </x:is>
      </x:c>
      <x:c r="K20" s="23" t="inlineStr">
        <x:is>
          <x:t xml:space="preserve">Hybrid Funding Formula Calculator for 25-26 w Charter version 05152026.xlsm — Calculator sheet (not a Data sheet column; computed the same flat way at the Calculator-sheet level)</x:t>
        </x:is>
      </x:c>
      <x:c r="L20" s="101" t="n">
        <x:v>46157</x:v>
      </x:c>
      <x:c r="M20" s="24" t="inlineStr">
        <x:is>
          <x:t xml:space="preserve">DDOE (reference workbook)</x:t>
        </x:is>
      </x:c>
      <x:c r="N20" s="23" t="inlineStr">
        <x:is>
          <x:t xml:space="preserve">HB 225, FY2026 Operating Budget, §322(4) — funds 'each local school district, excluding charter schools': §1305 10-month salary schedule value plus the district's own §1707 Division III Equalization Unit share (~$1,225-$20,756/unit per Aug. 2025 equalization presentation)</x:t>
        </x:is>
      </x:c>
      <x:c r="O20" s="23" t="inlineStr">
        <x:is>
          <x:t xml:space="preserve"/>
        </x:is>
      </x:c>
      <x:c r="P20" s="24" t="inlineStr">
        <x:is>
          <x:t xml:space="preserve"/>
        </x:is>
      </x:c>
      <x:c r="Q20" s="24" t="inlineStr">
        <x:is>
          <x:t xml:space="preserve">FY2025-26</x:t>
        </x:is>
      </x:c>
      <x:c r="R20" s="24" t="inlineStr">
        <x:is>
          <x:t xml:space="preserve"/>
        </x:is>
      </x:c>
      <x:c r="S20" s="24" t="inlineStr">
        <x:is>
          <x:t xml:space="preserve"/>
        </x:is>
      </x:c>
      <x:c r="T20" s="23" t="inlineStr">
        <x:is>
          <x:t xml:space="preserve">Open discrepancy</x:t>
        </x:is>
      </x:c>
      <x:c r="U20" s="102" t="n">
        <x:v>46225</x:v>
      </x:c>
      <x:c r="V20" s="23" t="inlineStr">
        <x:is>
          <x:t xml:space="preserve">Calculator!Statewide row</x:t>
        </x:is>
      </x:c>
      <x:c r="W20" s="23" t="inlineStr">
        <x:is>
          <x:t xml:space="preserve">43 x $96,155 = $4,134,665 statewide (both this calculator and the reference workbook) vs. HB 225 appropriation of $2,064,600 — roughly 2x over.</x:t>
        </x:is>
      </x:c>
      <x:c r="X20" s="23" t="inlineStr">
        <x:is>
          <x:t xml:space="preserve">BR2-011</x:t>
        </x:is>
      </x:c>
      <x:c r="Y20" s="23" t="inlineStr">
        <x:is>
          <x:t xml:space="preserve">OPEN, confirmed conflict: the business rule both this calculator and the reference workbook implement (1 per district AND charter) directly conflicts with its own cited FY2026 appropriation statute, which excludes charters and prices the position differently via §1707. This is not a bug in either tool — it is a genuine unresolved policy question for DDOE. Open questions: (1) reconcile the district-and-charter rule with the appropriation's charter exclusion; (2) confirm the correct §1707-based calculation and current unit values; (3) explain how the reference workbook's output reconciles to the enacted appropriation, if at all.</x:t>
        </x:is>
      </x:c>
    </x:row>
    <x:row r="21" s="76" customFormat="1" ht="60" customHeight="1">
      <x:c r="A21" s="23" t="inlineStr">
        <x:is>
          <x:t xml:space="preserve">BR2-PEFC-001</x:t>
        </x:is>
      </x:c>
      <x:c r="B21" s="23" t="inlineStr">
        <x:is>
          <x:t xml:space="preserve">Opportunity Funding — Low Income</x:t>
        </x:is>
      </x:c>
      <x:c r="C21" s="23" t="inlineStr">
        <x:is>
          <x:t xml:space="preserve">LEA / School / Statewide</x:t>
        </x:is>
      </x:c>
      <x:c r="D21" s="23" t="inlineStr">
        <x:is>
          <x:t xml:space="preserve">District &amp; Charter</x:t>
        </x:is>
      </x:c>
      <x:c r="E21" s="23" t="inlineStr">
        <x:is>
          <x:t xml:space="preserve">Weighted Funding</x:t>
        </x:is>
      </x:c>
      <x:c r="F21" s="23" t="inlineStr">
        <x:is>
          <x:t xml:space="preserve"># of LI students enrolled x weight (0.675), against a $163,000,000 statewide pool / 32,909.315 statewide weighted enrollment.</x:t>
        </x:is>
      </x:c>
      <x:c r="G21" s="23" t="inlineStr">
        <x:is>
          <x:t xml:space="preserve">li_enrollment * 0.675 * (oppPool/32909.315)</x:t>
        </x:is>
      </x:c>
      <x:c r="H21" s="23" t="inlineStr">
        <x:is>
          <x:t xml:space="preserve">None</x:t>
        </x:is>
      </x:c>
      <x:c r="I21" s="23" t="inlineStr">
        <x:is>
          <x:t xml:space="preserve">None</x:t>
        </x:is>
      </x:c>
      <x:c r="J21" s="23" t="inlineStr">
        <x:is>
          <x:t xml:space="preserve">LI enrollment count</x:t>
        </x:is>
      </x:c>
      <x:c r="K21" s="23" t="inlineStr">
        <x:is>
          <x:t xml:space="preserve">Hybrid Funding Formula Calculator for 25-26 w Charter version 05152026.xlsm — State Totals sheet</x:t>
        </x:is>
      </x:c>
      <x:c r="L21" s="101" t="n">
        <x:v>46157</x:v>
      </x:c>
      <x:c r="M21" s="24" t="inlineStr">
        <x:is>
          <x:t xml:space="preserve">DDOE (reference workbook)</x:t>
        </x:is>
      </x:c>
      <x:c r="N21" s="23" t="inlineStr">
        <x:is>
          <x:t xml:space="preserve">Delaware Public Education Funding Commission (PEFC) Hybrid Funding Model — Opportunity Funding formula</x:t>
        </x:is>
      </x:c>
      <x:c r="O21" s="23" t="inlineStr">
        <x:is>
          <x:t xml:space="preserve"/>
        </x:is>
      </x:c>
      <x:c r="P21" s="24" t="inlineStr">
        <x:is>
          <x:t xml:space="preserve"/>
        </x:is>
      </x:c>
      <x:c r="Q21" s="24" t="inlineStr">
        <x:is>
          <x:t xml:space="preserve">FY2025-26</x:t>
        </x:is>
      </x:c>
      <x:c r="R21" s="24" t="inlineStr">
        <x:is>
          <x:t xml:space="preserve"/>
        </x:is>
      </x:c>
      <x:c r="S21" s="24" t="inlineStr">
        <x:is>
          <x:t xml:space="preserve"/>
        </x:is>
      </x:c>
      <x:c r="T21" s="23" t="inlineStr">
        <x:is>
          <x:t xml:space="preserve">Business rule confirmed</x:t>
        </x:is>
      </x:c>
      <x:c r="U21" s="102" t="n">
        <x:v>46225</x:v>
      </x:c>
      <x:c r="V21" s="23" t="inlineStr">
        <x:is>
          <x:t xml:space="preserve">State Totals sheet</x:t>
        </x:is>
      </x:c>
      <x:c r="W21" s="23" t="inlineStr">
        <x:is>
          <x:t xml:space="preserve"/>
        </x:is>
      </x:c>
      <x:c r="X21" s="23" t="inlineStr">
        <x:is>
          <x:t xml:space="preserve">BR2-PEFC-002</x:t>
        </x:is>
      </x:c>
      <x:c r="Y21" s="23" t="inlineStr">
        <x:is>
          <x:t xml:space="preserve">Pool amount is user-editable in the What-If Model tab to allow modeling future-year appropriations.</x:t>
        </x:is>
      </x:c>
    </x:row>
    <x:row r="22" s="76" customFormat="1" ht="87.75" customHeight="1">
      <x:c r="A22" s="25" t="inlineStr">
        <x:is>
          <x:t xml:space="preserve">BR2-PEFC-002</x:t>
        </x:is>
      </x:c>
      <x:c r="B22" s="25" t="inlineStr">
        <x:is>
          <x:t xml:space="preserve">Opportunity Funding — Multilingual Learner</x:t>
        </x:is>
      </x:c>
      <x:c r="C22" s="25" t="inlineStr">
        <x:is>
          <x:t xml:space="preserve">LEA / School / Statewide</x:t>
        </x:is>
      </x:c>
      <x:c r="D22" s="25" t="inlineStr">
        <x:is>
          <x:t xml:space="preserve">District &amp; Charter</x:t>
        </x:is>
      </x:c>
      <x:c r="E22" s="25" t="inlineStr">
        <x:is>
          <x:t xml:space="preserve">Weighted Funding</x:t>
        </x:is>
      </x:c>
      <x:c r="F22" s="25" t="inlineStr">
        <x:is>
          <x:t xml:space="preserve"># of MLL students enrolled x weight (0.470), against the same $163,000,000 statewide pool / 32,909.315 statewide weighted enrollment.</x:t>
        </x:is>
      </x:c>
      <x:c r="G22" s="25" t="inlineStr">
        <x:is>
          <x:t xml:space="preserve">mll_enrollment * 0.470 * (oppPool/32909.315)</x:t>
        </x:is>
      </x:c>
      <x:c r="H22" s="25" t="inlineStr">
        <x:is>
          <x:t xml:space="preserve">None</x:t>
        </x:is>
      </x:c>
      <x:c r="I22" s="25" t="inlineStr">
        <x:is>
          <x:t xml:space="preserve">None</x:t>
        </x:is>
      </x:c>
      <x:c r="J22" s="25" t="inlineStr">
        <x:is>
          <x:t xml:space="preserve">MLL enrollment count</x:t>
        </x:is>
      </x:c>
      <x:c r="K22" s="25" t="inlineStr">
        <x:is>
          <x:t xml:space="preserve">Hybrid Funding Formula Calculator for 25-26 w Charter version 05152026.xlsm — State Totals sheet</x:t>
        </x:is>
      </x:c>
      <x:c r="L22" s="103" t="n">
        <x:v>46157</x:v>
      </x:c>
      <x:c r="M22" s="24" t="inlineStr">
        <x:is>
          <x:t xml:space="preserve">DDOE (reference workbook)</x:t>
        </x:is>
      </x:c>
      <x:c r="N22" s="25" t="inlineStr">
        <x:is>
          <x:t xml:space="preserve">Delaware PEFC Hybrid Funding Model — Opportunity Funding formula</x:t>
        </x:is>
      </x:c>
      <x:c r="O22" s="25" t="inlineStr">
        <x:is>
          <x:t xml:space="preserve"/>
        </x:is>
      </x:c>
      <x:c r="P22" s="24" t="inlineStr">
        <x:is>
          <x:t xml:space="preserve"/>
        </x:is>
      </x:c>
      <x:c r="Q22" s="24" t="inlineStr">
        <x:is>
          <x:t xml:space="preserve">FY2025-26</x:t>
        </x:is>
      </x:c>
      <x:c r="R22" s="24" t="inlineStr">
        <x:is>
          <x:t xml:space="preserve"/>
        </x:is>
      </x:c>
      <x:c r="S22" s="24" t="inlineStr">
        <x:is>
          <x:t xml:space="preserve"/>
        </x:is>
      </x:c>
      <x:c r="T22" s="25" t="inlineStr">
        <x:is>
          <x:t xml:space="preserve">Business rule confirmed</x:t>
        </x:is>
      </x:c>
      <x:c r="U22" s="102" t="n">
        <x:v>46225</x:v>
      </x:c>
      <x:c r="V22" s="25" t="inlineStr">
        <x:is>
          <x:t xml:space="preserve">State Totals sheet</x:t>
        </x:is>
      </x:c>
      <x:c r="W22" s="25" t="inlineStr">
        <x:is>
          <x:t xml:space="preserve"/>
        </x:is>
      </x:c>
      <x:c r="X22" s="25" t="inlineStr">
        <x:is>
          <x:t xml:space="preserve">BR2-PEFC-001</x:t>
        </x:is>
      </x:c>
      <x:c r="Y22" s="25" t="inlineStr">
        <x:is>
          <x:t xml:space="preserve"/>
        </x:is>
      </x:c>
    </x:row>
    <x:row r="23" s="76" customFormat="1" ht="60" customHeight="1">
      <x:c r="A23" s="26" t="inlineStr">
        <x:is>
          <x:t xml:space="preserve">BR2-PEFC-003</x:t>
        </x:is>
      </x:c>
      <x:c r="B23" s="26" t="inlineStr">
        <x:is>
          <x:t xml:space="preserve">Operational Funding — Enrollment/LI/MLL/Basic/Intense/Complex/Vocational</x:t>
        </x:is>
      </x:c>
      <x:c r="C23" s="26" t="inlineStr">
        <x:is>
          <x:t xml:space="preserve">LEA / School / Statewide</x:t>
        </x:is>
      </x:c>
      <x:c r="D23" s="26" t="inlineStr">
        <x:is>
          <x:t xml:space="preserve">District &amp; Charter</x:t>
        </x:is>
      </x:c>
      <x:c r="E23" s="26" t="inlineStr">
        <x:is>
          <x:t xml:space="preserve">Weighted Funding</x:t>
        </x:is>
      </x:c>
      <x:c r="F23" s="26" t="inlineStr">
        <x:is>
          <x:t xml:space="preserve">7-category weighted formula: Enrollment x0.200, LI x0.675, MLL x0.470, Basic x0.480, Intense x0.670, Complex x1.540, Vocational x0.200, against a $279,026,800 statewide pool / 85,986.885 statewide weighted enrollment.</x:t>
        </x:is>
      </x:c>
      <x:c r="G23" s="26" t="inlineStr">
        <x:is>
          <x:t xml:space="preserve">sum(category_enrollment * weight) * (opPool/85986.885)</x:t>
        </x:is>
      </x:c>
      <x:c r="H23" s="26" t="inlineStr">
        <x:is>
          <x:t xml:space="preserve">None</x:t>
        </x:is>
      </x:c>
      <x:c r="I23" s="26" t="inlineStr">
        <x:is>
          <x:t xml:space="preserve">None</x:t>
        </x:is>
      </x:c>
      <x:c r="J23" s="26" t="inlineStr">
        <x:is>
          <x:t xml:space="preserve">Enrollment by category</x:t>
        </x:is>
      </x:c>
      <x:c r="K23" s="26" t="inlineStr">
        <x:is>
          <x:t xml:space="preserve">Hybrid Funding Formula Calculator for 25-26 w Charter version 05152026.xlsm — State Totals sheet</x:t>
        </x:is>
      </x:c>
      <x:c r="L23" s="104" t="n">
        <x:v>46157</x:v>
      </x:c>
      <x:c r="M23" s="24" t="inlineStr">
        <x:is>
          <x:t xml:space="preserve">DDOE (reference workbook)</x:t>
        </x:is>
      </x:c>
      <x:c r="N23" s="26" t="inlineStr">
        <x:is>
          <x:t xml:space="preserve">Delaware PEFC Hybrid Funding Model — Operational Funding formula</x:t>
        </x:is>
      </x:c>
      <x:c r="O23" s="26" t="inlineStr">
        <x:is>
          <x:t xml:space="preserve"/>
        </x:is>
      </x:c>
      <x:c r="P23" s="24" t="inlineStr">
        <x:is>
          <x:t xml:space="preserve"/>
        </x:is>
      </x:c>
      <x:c r="Q23" s="24" t="inlineStr">
        <x:is>
          <x:t xml:space="preserve">FY2025-26</x:t>
        </x:is>
      </x:c>
      <x:c r="R23" s="24" t="inlineStr">
        <x:is>
          <x:t xml:space="preserve"/>
        </x:is>
      </x:c>
      <x:c r="S23" s="24" t="inlineStr">
        <x:is>
          <x:t xml:space="preserve"/>
        </x:is>
      </x:c>
      <x:c r="T23" s="26" t="inlineStr">
        <x:is>
          <x:t xml:space="preserve">Business rule confirmed</x:t>
        </x:is>
      </x:c>
      <x:c r="U23" s="102" t="n">
        <x:v>46225</x:v>
      </x:c>
      <x:c r="V23" s="26" t="inlineStr">
        <x:is>
          <x:t xml:space="preserve">State Totals sheet</x:t>
        </x:is>
      </x:c>
      <x:c r="W23" s="26" t="inlineStr">
        <x:is>
          <x:t xml:space="preserve"/>
        </x:is>
      </x:c>
      <x:c r="X23" s="26" t="inlineStr">
        <x:is>
          <x:t xml:space="preserve"/>
        </x:is>
      </x:c>
      <x:c r="Y23" s="26" t="inlineStr">
        <x:is>
          <x:t xml:space="preserve">Pool amount is user-editable in the What-If Model tab to allow modeling future-year appropriations.</x:t>
        </x:is>
      </x:c>
    </x:row>
    <x:row r="24" s="76" customFormat="1" ht="60" customHeight="1">
      <x:c r="A24" s="26" t="inlineStr">
        <x:is>
          <x:t xml:space="preserve">BR2-019</x:t>
        </x:is>
      </x:c>
      <x:c r="B24" s="26" t="inlineStr">
        <x:is>
          <x:t xml:space="preserve">Additional State Funding (50/50 split)</x:t>
        </x:is>
      </x:c>
      <x:c r="C24" s="26" t="inlineStr">
        <x:is>
          <x:t xml:space="preserve">Statewide</x:t>
        </x:is>
      </x:c>
      <x:c r="D24" s="26" t="inlineStr">
        <x:is>
          <x:t xml:space="preserve">District &amp; Charter</x:t>
        </x:is>
      </x:c>
      <x:c r="E24" s="26" t="inlineStr">
        <x:is>
          <x:t xml:space="preserve">Pool adjustment</x:t>
        </x:is>
      </x:c>
      <x:c r="F24" s="26" t="inlineStr">
        <x:is>
          <x:t xml:space="preserve">An optional statewide add-on amount, split 50/50 between the Opportunity and Operational funding pools before the per-weighted-unit base rate is recalculated.</x:t>
        </x:is>
      </x:c>
      <x:c r="G24" s="26" t="inlineStr">
        <x:is>
          <x:t xml:space="preserve">oppPool += additional*0.5; opPool += additional*0.5</x:t>
        </x:is>
      </x:c>
      <x:c r="H24" s="26" t="inlineStr">
        <x:is>
          <x:t xml:space="preserve">None</x:t>
        </x:is>
      </x:c>
      <x:c r="I24" s="26" t="inlineStr">
        <x:is>
          <x:t xml:space="preserve">None</x:t>
        </x:is>
      </x:c>
      <x:c r="J24" s="26" t="inlineStr">
        <x:is>
          <x:t xml:space="preserve">User-entered dollar amount</x:t>
        </x:is>
      </x:c>
      <x:c r="K24" s="26" t="inlineStr">
        <x:is>
          <x:t xml:space="preserve">Hybrid Funding Formula Calculator for 25-26 w Charter version 05152026.xlsm — Calculator!H1</x:t>
        </x:is>
      </x:c>
      <x:c r="L24" s="104" t="n">
        <x:v>46157</x:v>
      </x:c>
      <x:c r="M24" s="24" t="inlineStr">
        <x:is>
          <x:t xml:space="preserve">DDOE (reference workbook)</x:t>
        </x:is>
      </x:c>
      <x:c r="N24" s="26" t="inlineStr">
        <x:is>
          <x:t xml:space="preserve">Not independently cited — matches the reference workbook's own H1 input mechanism</x:t>
        </x:is>
      </x:c>
      <x:c r="O24" s="26" t="inlineStr">
        <x:is>
          <x:t xml:space="preserve"/>
        </x:is>
      </x:c>
      <x:c r="P24" s="24" t="inlineStr">
        <x:is>
          <x:t xml:space="preserve"/>
        </x:is>
      </x:c>
      <x:c r="Q24" s="24" t="inlineStr">
        <x:is>
          <x:t xml:space="preserve">FY2025-26</x:t>
        </x:is>
      </x:c>
      <x:c r="R24" s="24" t="inlineStr">
        <x:is>
          <x:t xml:space="preserve"/>
        </x:is>
      </x:c>
      <x:c r="S24" s="24" t="inlineStr">
        <x:is>
          <x:t xml:space="preserve"/>
        </x:is>
      </x:c>
      <x:c r="T24" s="26" t="inlineStr">
        <x:is>
          <x:t xml:space="preserve">Verified</x:t>
        </x:is>
      </x:c>
      <x:c r="U24" s="102" t="n">
        <x:v>46225</x:v>
      </x:c>
      <x:c r="V24" s="26" t="inlineStr">
        <x:is>
          <x:t xml:space="preserve">Calculator!H1</x:t>
        </x:is>
      </x:c>
      <x:c r="W24" s="26" t="inlineStr">
        <x:is>
          <x:t xml:space="preserve"/>
        </x:is>
      </x:c>
      <x:c r="X24" s="26" t="inlineStr">
        <x:is>
          <x:t xml:space="preserve">BR2-PEFC-001,BR2-PEFC-003</x:t>
        </x:is>
      </x:c>
      <x:c r="Y24" s="26" t="inlineStr">
        <x:is>
          <x:t xml:space="preserve"/>
        </x:is>
      </x:c>
    </x:row>
    <x:row r="25" s="76" customFormat="1" ht="60" customHeight="1">
      <x:c r="A25" s="23" t="n"/>
      <x:c r="B25" s="23" t="n"/>
      <x:c r="C25" s="23" t="n"/>
      <x:c r="D25" s="23" t="n"/>
      <x:c r="E25" s="23" t="n"/>
      <x:c r="F25" s="23" t="n"/>
      <x:c r="G25" s="23" t="n"/>
      <x:c r="H25" s="23" t="n"/>
      <x:c r="I25" s="23" t="n"/>
      <x:c r="J25" s="23" t="n"/>
      <x:c r="K25" s="23" t="n"/>
      <x:c r="L25" s="23" t="n"/>
      <x:c r="M25" s="24" t="n"/>
      <x:c r="N25" s="23" t="n"/>
      <x:c r="O25" s="23" t="n"/>
      <x:c r="P25" s="24" t="n"/>
      <x:c r="Q25" s="24" t="n"/>
      <x:c r="R25" s="24" t="n"/>
      <x:c r="S25" s="24" t="n"/>
      <x:c r="T25" s="23" t="n"/>
      <x:c r="U25" s="24" t="n"/>
      <x:c r="V25" s="23" t="n"/>
      <x:c r="W25" s="23" t="n"/>
      <x:c r="X25" s="23" t="n"/>
      <x:c r="Y25" s="23" t="n"/>
    </x:row>
    <x:row r="26" s="76" customFormat="1" ht="60" customHeight="1">
      <x:c r="A26" s="23" t="n"/>
      <x:c r="B26" s="23" t="n"/>
      <x:c r="C26" s="23" t="n"/>
      <x:c r="D26" s="23" t="n"/>
      <x:c r="E26" s="23" t="n"/>
      <x:c r="F26" s="23" t="n"/>
      <x:c r="G26" s="23" t="n"/>
      <x:c r="H26" s="23" t="n"/>
      <x:c r="I26" s="23" t="n"/>
      <x:c r="J26" s="23" t="n"/>
      <x:c r="K26" s="23" t="n"/>
      <x:c r="L26" s="23" t="n"/>
      <x:c r="M26" s="24" t="n"/>
      <x:c r="N26" s="23" t="n"/>
      <x:c r="O26" s="23" t="n"/>
      <x:c r="P26" s="24" t="n"/>
      <x:c r="Q26" s="24" t="n"/>
      <x:c r="R26" s="24" t="n"/>
      <x:c r="S26" s="24" t="n"/>
      <x:c r="T26" s="23" t="n"/>
      <x:c r="U26" s="24" t="n"/>
      <x:c r="V26" s="23" t="n"/>
      <x:c r="W26" s="23" t="n"/>
      <x:c r="X26" s="23" t="n"/>
      <x:c r="Y26" s="23" t="n"/>
    </x:row>
    <x:row r="27" s="76" customFormat="1" ht="60" customHeight="1">
      <x:c r="A27" s="23" t="n"/>
      <x:c r="B27" s="23" t="n"/>
      <x:c r="C27" s="23" t="n"/>
      <x:c r="D27" s="23" t="n"/>
      <x:c r="E27" s="23" t="n"/>
      <x:c r="F27" s="23" t="n"/>
      <x:c r="G27" s="23" t="n"/>
      <x:c r="H27" s="23" t="n"/>
      <x:c r="I27" s="23" t="n"/>
      <x:c r="J27" s="23" t="n"/>
      <x:c r="K27" s="23" t="n"/>
      <x:c r="L27" s="23" t="n"/>
      <x:c r="M27" s="24" t="n"/>
      <x:c r="N27" s="23" t="n"/>
      <x:c r="O27" s="23" t="n"/>
      <x:c r="P27" s="24" t="n"/>
      <x:c r="Q27" s="24" t="n"/>
      <x:c r="R27" s="24" t="n"/>
      <x:c r="S27" s="24" t="n"/>
      <x:c r="T27" s="23" t="n"/>
      <x:c r="U27" s="24" t="n"/>
      <x:c r="V27" s="23" t="n"/>
      <x:c r="W27" s="23" t="n"/>
      <x:c r="X27" s="23" t="n"/>
      <x:c r="Y27" s="23" t="n"/>
    </x:row>
    <x:row r="28" s="76" customFormat="1" ht="60" customHeight="1">
      <x:c r="A28" s="23" t="n"/>
      <x:c r="B28" s="23" t="n"/>
      <x:c r="C28" s="23" t="n"/>
      <x:c r="D28" s="23" t="n"/>
      <x:c r="E28" s="23" t="n"/>
      <x:c r="F28" s="23" t="n"/>
      <x:c r="G28" s="23" t="n"/>
      <x:c r="H28" s="23" t="n"/>
      <x:c r="I28" s="23" t="n"/>
      <x:c r="J28" s="23" t="n"/>
      <x:c r="K28" s="23" t="n"/>
      <x:c r="L28" s="23" t="n"/>
      <x:c r="M28" s="24" t="n"/>
      <x:c r="N28" s="23" t="n"/>
      <x:c r="O28" s="23" t="n"/>
      <x:c r="P28" s="24" t="n"/>
      <x:c r="Q28" s="24" t="n"/>
      <x:c r="R28" s="24" t="n"/>
      <x:c r="S28" s="24" t="n"/>
      <x:c r="T28" s="23" t="n"/>
      <x:c r="U28" s="24" t="n"/>
      <x:c r="V28" s="23" t="n"/>
      <x:c r="W28" s="23" t="n"/>
      <x:c r="X28" s="23" t="n"/>
      <x:c r="Y28" s="23" t="n"/>
    </x:row>
    <x:row r="29" s="76" customFormat="1" ht="60" customHeight="1">
      <x:c r="A29" s="23" t="n"/>
      <x:c r="B29" s="23" t="n"/>
      <x:c r="C29" s="23" t="n"/>
      <x:c r="D29" s="23" t="n"/>
      <x:c r="E29" s="23" t="n"/>
      <x:c r="F29" s="23" t="n"/>
      <x:c r="G29" s="23" t="n"/>
      <x:c r="H29" s="23" t="n"/>
      <x:c r="I29" s="23" t="n"/>
      <x:c r="J29" s="23" t="n"/>
      <x:c r="K29" s="23" t="n"/>
      <x:c r="L29" s="23" t="n"/>
      <x:c r="M29" s="24" t="n"/>
      <x:c r="N29" s="23" t="n"/>
      <x:c r="O29" s="23" t="n"/>
      <x:c r="P29" s="24" t="n"/>
      <x:c r="Q29" s="24" t="n"/>
      <x:c r="R29" s="24" t="n"/>
      <x:c r="S29" s="24" t="n"/>
      <x:c r="T29" s="23" t="n"/>
      <x:c r="U29" s="24" t="n"/>
      <x:c r="V29" s="23" t="n"/>
      <x:c r="W29" s="23" t="n"/>
      <x:c r="X29" s="23" t="n"/>
      <x:c r="Y29" s="23" t="n"/>
    </x:row>
    <x:row r="30" s="76" customFormat="1" ht="60" customHeight="1">
      <x:c r="A30" s="23" t="n"/>
      <x:c r="B30" s="23" t="n"/>
      <x:c r="C30" s="23" t="n"/>
      <x:c r="D30" s="23" t="n"/>
      <x:c r="E30" s="23" t="n"/>
      <x:c r="F30" s="23" t="n"/>
      <x:c r="G30" s="23" t="n"/>
      <x:c r="H30" s="23" t="n"/>
      <x:c r="I30" s="23" t="n"/>
      <x:c r="J30" s="23" t="n"/>
      <x:c r="K30" s="23" t="n"/>
      <x:c r="L30" s="23" t="n"/>
      <x:c r="M30" s="24" t="n"/>
      <x:c r="N30" s="23" t="n"/>
      <x:c r="O30" s="23" t="n"/>
      <x:c r="P30" s="24" t="n"/>
      <x:c r="Q30" s="24" t="n"/>
      <x:c r="R30" s="24" t="n"/>
      <x:c r="S30" s="24" t="n"/>
      <x:c r="T30" s="23" t="n"/>
      <x:c r="U30" s="24" t="n"/>
      <x:c r="V30" s="23" t="n"/>
      <x:c r="W30" s="23" t="n"/>
      <x:c r="X30" s="23" t="n"/>
      <x:c r="Y30" s="23" t="n"/>
    </x:row>
    <x:row r="31" s="76" customFormat="1" ht="92.0999984741211" customHeight="1">
      <x:c r="A31" s="45" t="n"/>
      <x:c r="B31" s="45" t="n"/>
      <x:c r="C31" s="45" t="n"/>
      <x:c r="D31" s="45" t="n"/>
      <x:c r="E31" s="45" t="n"/>
      <x:c r="F31" s="45" t="n"/>
      <x:c r="G31" s="45" t="n"/>
      <x:c r="H31" s="45" t="n"/>
      <x:c r="I31" s="45" t="n"/>
      <x:c r="J31" s="45" t="n"/>
      <x:c r="K31" s="45" t="n"/>
      <x:c r="L31" s="45" t="n"/>
      <x:c r="M31" s="47" t="n"/>
      <x:c r="N31" s="45" t="n"/>
      <x:c r="O31" s="45" t="n"/>
      <x:c r="P31" s="47" t="n"/>
      <x:c r="Q31" s="47" t="n"/>
      <x:c r="R31" s="47" t="n"/>
      <x:c r="S31" s="47" t="n"/>
      <x:c r="T31" s="46" t="n"/>
      <x:c r="U31" s="45" t="n"/>
      <x:c r="V31" s="45" t="n"/>
      <x:c r="W31" s="45" t="n"/>
      <x:c r="X31" s="45" t="n"/>
      <x:c r="Y31" s="45" t="n"/>
    </x:row>
    <x:row r="32" s="76" customFormat="1" ht="92.0999984741211" customHeight="1">
      <x:c r="A32" s="45" t="n"/>
      <x:c r="B32" s="45" t="n"/>
      <x:c r="C32" s="45" t="n"/>
      <x:c r="D32" s="45" t="n"/>
      <x:c r="E32" s="45" t="n"/>
      <x:c r="F32" s="45" t="n"/>
      <x:c r="G32" s="45" t="n"/>
      <x:c r="H32" s="45" t="n"/>
      <x:c r="I32" s="45" t="n"/>
      <x:c r="J32" s="45" t="n"/>
      <x:c r="K32" s="45" t="n"/>
      <x:c r="L32" s="45" t="n"/>
      <x:c r="M32" s="47" t="n"/>
      <x:c r="N32" s="45" t="n"/>
      <x:c r="O32" s="45" t="n"/>
      <x:c r="P32" s="47" t="n"/>
      <x:c r="Q32" s="47" t="n"/>
      <x:c r="R32" s="47" t="n"/>
      <x:c r="S32" s="47" t="n"/>
      <x:c r="T32" s="46" t="n"/>
      <x:c r="U32" s="45" t="n"/>
      <x:c r="V32" s="45" t="n"/>
      <x:c r="W32" s="45" t="n"/>
      <x:c r="X32" s="45" t="n"/>
      <x:c r="Y32" s="45" t="n"/>
    </x:row>
    <x:row r="33" s="76" customFormat="1" ht="92.0999984741211" customHeight="1">
      <x:c r="A33" s="45" t="n"/>
      <x:c r="B33" s="45" t="n"/>
      <x:c r="C33" s="45" t="n"/>
      <x:c r="D33" s="45" t="n"/>
      <x:c r="E33" s="45" t="n"/>
      <x:c r="F33" s="45" t="n"/>
      <x:c r="G33" s="45" t="n"/>
      <x:c r="H33" s="45" t="n"/>
      <x:c r="I33" s="45" t="n"/>
      <x:c r="J33" s="45" t="n"/>
      <x:c r="K33" s="45" t="n"/>
      <x:c r="L33" s="45" t="n"/>
      <x:c r="M33" s="47" t="n"/>
      <x:c r="N33" s="45" t="n"/>
      <x:c r="O33" s="45" t="n"/>
      <x:c r="P33" s="47" t="n"/>
      <x:c r="Q33" s="47" t="n"/>
      <x:c r="R33" s="47" t="n"/>
      <x:c r="S33" s="47" t="n"/>
      <x:c r="T33" s="46" t="n"/>
      <x:c r="U33" s="45" t="n"/>
      <x:c r="V33" s="45" t="n"/>
      <x:c r="W33" s="45" t="n"/>
      <x:c r="X33" s="45" t="n"/>
      <x:c r="Y33" s="45" t="n"/>
    </x:row>
    <x:row r="34" s="76" customFormat="1" ht="92.0999984741211" customHeight="1">
      <x:c r="A34" s="45" t="n"/>
      <x:c r="B34" s="45" t="n"/>
      <x:c r="C34" s="45" t="n"/>
      <x:c r="D34" s="45" t="n"/>
      <x:c r="E34" s="45" t="n"/>
      <x:c r="F34" s="45" t="n"/>
      <x:c r="G34" s="45" t="n"/>
      <x:c r="H34" s="45" t="n"/>
      <x:c r="I34" s="45" t="n"/>
      <x:c r="J34" s="45" t="n"/>
      <x:c r="K34" s="45" t="n"/>
      <x:c r="L34" s="45" t="n"/>
      <x:c r="M34" s="47" t="n"/>
      <x:c r="N34" s="45" t="n"/>
      <x:c r="O34" s="45" t="n"/>
      <x:c r="P34" s="47" t="n"/>
      <x:c r="Q34" s="47" t="n"/>
      <x:c r="R34" s="47" t="n"/>
      <x:c r="S34" s="47" t="n"/>
      <x:c r="T34" s="46" t="n"/>
      <x:c r="U34" s="45" t="n"/>
      <x:c r="V34" s="45" t="n"/>
      <x:c r="W34" s="45" t="n"/>
      <x:c r="X34" s="45" t="n"/>
      <x:c r="Y34" s="45" t="n"/>
    </x:row>
    <x:row r="35" s="76" customFormat="1" ht="92.0999984741211" customHeight="1">
      <x:c r="A35" s="45" t="n"/>
      <x:c r="B35" s="45" t="n"/>
      <x:c r="C35" s="45" t="n"/>
      <x:c r="D35" s="45" t="n"/>
      <x:c r="E35" s="45" t="n"/>
      <x:c r="F35" s="45" t="n"/>
      <x:c r="G35" s="45" t="n"/>
      <x:c r="H35" s="45" t="n"/>
      <x:c r="I35" s="45" t="n"/>
      <x:c r="J35" s="45" t="n"/>
      <x:c r="K35" s="45" t="n"/>
      <x:c r="L35" s="45" t="n"/>
      <x:c r="M35" s="47" t="n"/>
      <x:c r="N35" s="45" t="n"/>
      <x:c r="O35" s="45" t="n"/>
      <x:c r="P35" s="47" t="n"/>
      <x:c r="Q35" s="47" t="n"/>
      <x:c r="R35" s="47" t="n"/>
      <x:c r="S35" s="47" t="n"/>
      <x:c r="T35" s="46" t="n"/>
      <x:c r="U35" s="45" t="n"/>
      <x:c r="V35" s="45" t="n"/>
      <x:c r="W35" s="45" t="n"/>
      <x:c r="X35" s="45" t="n"/>
      <x:c r="Y35" s="45" t="n"/>
    </x:row>
    <x:row r="36" s="76" customFormat="1" ht="92.0999984741211" customHeight="1">
      <x:c r="A36" s="45" t="n"/>
      <x:c r="B36" s="45" t="n"/>
      <x:c r="C36" s="45" t="n"/>
      <x:c r="D36" s="45" t="n"/>
      <x:c r="E36" s="45" t="n"/>
      <x:c r="F36" s="45" t="n"/>
      <x:c r="G36" s="45" t="n"/>
      <x:c r="H36" s="45" t="n"/>
      <x:c r="I36" s="45" t="n"/>
      <x:c r="J36" s="45" t="n"/>
      <x:c r="K36" s="45" t="n"/>
      <x:c r="L36" s="45" t="n"/>
      <x:c r="M36" s="47" t="n"/>
      <x:c r="N36" s="45" t="n"/>
      <x:c r="O36" s="45" t="n"/>
      <x:c r="P36" s="47" t="n"/>
      <x:c r="Q36" s="47" t="n"/>
      <x:c r="R36" s="47" t="n"/>
      <x:c r="S36" s="47" t="n"/>
      <x:c r="T36" s="46" t="n"/>
      <x:c r="U36" s="45" t="n"/>
      <x:c r="V36" s="45" t="n"/>
      <x:c r="W36" s="45" t="n"/>
      <x:c r="X36" s="45" t="n"/>
      <x:c r="Y36" s="45" t="n"/>
    </x:row>
    <x:row r="37" s="76" customFormat="1" ht="92.0999984741211" customHeight="1">
      <x:c r="A37" s="45" t="n"/>
      <x:c r="B37" s="45" t="n"/>
      <x:c r="C37" s="45" t="n"/>
      <x:c r="D37" s="45" t="n"/>
      <x:c r="E37" s="45" t="n"/>
      <x:c r="F37" s="45" t="n"/>
      <x:c r="G37" s="45" t="n"/>
      <x:c r="H37" s="45" t="n"/>
      <x:c r="I37" s="45" t="n"/>
      <x:c r="J37" s="45" t="n"/>
      <x:c r="K37" s="45" t="n"/>
      <x:c r="L37" s="45" t="n"/>
      <x:c r="M37" s="47" t="n"/>
      <x:c r="N37" s="45" t="n"/>
      <x:c r="O37" s="45" t="n"/>
      <x:c r="P37" s="47" t="n"/>
      <x:c r="Q37" s="47" t="n"/>
      <x:c r="R37" s="47" t="n"/>
      <x:c r="S37" s="47" t="n"/>
      <x:c r="T37" s="46" t="n"/>
      <x:c r="U37" s="45" t="n"/>
      <x:c r="V37" s="45" t="n"/>
      <x:c r="W37" s="45" t="n"/>
      <x:c r="X37" s="45" t="n"/>
      <x:c r="Y37" s="45" t="n"/>
    </x:row>
    <x:row r="38" s="76" customFormat="1" ht="92.0999984741211" customHeight="1">
      <x:c r="A38" s="45" t="n"/>
      <x:c r="B38" s="45" t="n"/>
      <x:c r="C38" s="45" t="n"/>
      <x:c r="D38" s="45" t="n"/>
      <x:c r="E38" s="45" t="n"/>
      <x:c r="F38" s="45" t="n"/>
      <x:c r="G38" s="45" t="n"/>
      <x:c r="H38" s="45" t="n"/>
      <x:c r="I38" s="45" t="n"/>
      <x:c r="J38" s="45" t="n"/>
      <x:c r="K38" s="45" t="n"/>
      <x:c r="L38" s="45" t="n"/>
      <x:c r="M38" s="47" t="n"/>
      <x:c r="N38" s="45" t="n"/>
      <x:c r="O38" s="45" t="n"/>
      <x:c r="P38" s="47" t="n"/>
      <x:c r="Q38" s="47" t="n"/>
      <x:c r="R38" s="47" t="n"/>
      <x:c r="S38" s="47" t="n"/>
      <x:c r="T38" s="46" t="n"/>
      <x:c r="U38" s="45" t="n"/>
      <x:c r="V38" s="45" t="n"/>
      <x:c r="W38" s="45" t="n"/>
      <x:c r="X38" s="45" t="n"/>
      <x:c r="Y38" s="45" t="n"/>
    </x:row>
    <x:row r="39" s="76" customFormat="1" ht="92.0999984741211" customHeight="1">
      <x:c r="A39" s="45" t="n"/>
      <x:c r="B39" s="45" t="n"/>
      <x:c r="C39" s="45" t="n"/>
      <x:c r="D39" s="45" t="n"/>
      <x:c r="E39" s="45" t="n"/>
      <x:c r="F39" s="45" t="n"/>
      <x:c r="G39" s="45" t="n"/>
      <x:c r="H39" s="45" t="n"/>
      <x:c r="I39" s="45" t="n"/>
      <x:c r="J39" s="45" t="n"/>
      <x:c r="K39" s="45" t="n"/>
      <x:c r="L39" s="45" t="n"/>
      <x:c r="M39" s="47" t="n"/>
      <x:c r="N39" s="45" t="n"/>
      <x:c r="O39" s="45" t="n"/>
      <x:c r="P39" s="47" t="n"/>
      <x:c r="Q39" s="47" t="n"/>
      <x:c r="R39" s="47" t="n"/>
      <x:c r="S39" s="47" t="n"/>
      <x:c r="T39" s="46" t="n"/>
      <x:c r="U39" s="45" t="n"/>
      <x:c r="V39" s="45" t="n"/>
      <x:c r="W39" s="45" t="n"/>
      <x:c r="X39" s="45" t="n"/>
      <x:c r="Y39" s="45" t="n"/>
    </x:row>
  </x:sheetData>
  <x:pageMargins left="0.7" right="0.7" top="0.75" bottom="0.75" header="0.3" footer="0.3"/>
</x:worksheet>
</file>

<file path=xl/worksheets/sheet3.xml><?xml version="1.0" encoding="utf-8"?>
<x:worksheet xmlns:x="http://schemas.openxmlformats.org/spreadsheetml/2006/main">
  <x:sheetFormatPr baseColWidth="8" defaultRowHeight="18.75"/>
  <x:cols>
    <x:col min="1" max="1" width="8.28515625" style="14" customWidth="1"/>
    <x:col min="2" max="2" width="31.7109375" style="14" customWidth="1"/>
    <x:col min="3" max="3" width="124.28515625" style="14" customWidth="1"/>
    <x:col min="4" max="4" width="37.140625" style="14" customWidth="1"/>
    <x:col min="5" max="5" width="9.140625" style="14" customWidth="1"/>
    <x:col min="6" max="16384" width="9.140625" style="14" customWidth="1"/>
  </x:cols>
  <x:sheetData>
    <x:row r="1">
      <x:c r="A1" s="79" t="inlineStr">
        <x:is>
          <x:t xml:space="preserve">The list of questions</x:t>
        </x:is>
      </x:c>
      <x:c r="B1" s="80" t="n"/>
      <x:c r="C1" s="80" t="n"/>
      <x:c r="D1" s="80" t="n"/>
    </x:row>
    <x:row r="2">
      <x:c r="B2" s="15" t="inlineStr">
        <x:is>
          <x:t xml:space="preserve">Questions</x:t>
        </x:is>
      </x:c>
      <x:c r="C2" s="15" t="inlineStr">
        <x:is>
          <x:t xml:space="preserve">Notes</x:t>
        </x:is>
      </x:c>
      <x:c r="D2" s="15" t="inlineStr">
        <x:is>
          <x:t xml:space="preserve">Source</x:t>
        </x:is>
      </x:c>
    </x:row>
    <x:row r="3" s="76" customFormat="1" ht="75" customHeight="1">
      <x:c r="A3" s="16" t="n">
        <x:v>1</x:v>
      </x:c>
      <x:c r="B3" s="17" t="inlineStr">
        <x:is>
          <x:t xml:space="preserve">For every business rule in this workbook, what is the authoritative legal or policy source?</x:t>
        </x:is>
      </x:c>
      <x:c r="C3" s="17" t="inlineStr">
        <x:is>
          <x:t xml:space="preserve">How the weights are defined, how the funding rate is defined, etc. </x:t>
        </x:is>
      </x:c>
      <x:c r="D3" s="17" t="inlineStr">
        <x:is>
          <x:t xml:space="preserve">PECF</x:t>
        </x:is>
      </x:c>
    </x:row>
    <x:row r="4" s="76" customFormat="1" ht="243.75" customHeight="1">
      <x:c r="A4" s="16" t="n">
        <x:v>2</x:v>
      </x:c>
      <x:c r="B4" s="17" t="inlineStr">
        <x:is>
          <x:t xml:space="preserve">Who is the authoritative business owner responsible for interpreting and approving the implementation of each business rule used in this workbook?</x:t>
        </x:is>
      </x:c>
      <x:c r="C4" s="17" t="inlineStr">
        <x:is>
          <x:t xml:space="preserve">1.	Reading/Literacy Cadre is currently paid to every LEA — including charter schools — but HB 225 (FY2026 Operating Budget), Section 322(4), explicitly funds this line for “each local school district, excluding charter schools.” Can DDOE confirm the Calculator's D43 formula (which tests for “District” OR “Charter” in the LEA name) is wrong, and correct it to exclude charters?  [BR-CO-009]
2.	The same line is priced at a flat $96,155 in the Calculator, but the statute funds it as the §1305 salary schedule value (10-month, not 12-month) plus the district's own §1707 Division III Equalization Unit share — a figure that varies by district (from roughly $1,225 to $20,756 per unit per the August 2025 equalization presentation). Can DDOE confirm the correct per-district calculation and supply current §1707 unit values?  [BR-CO-009]
3.	Reconciling the above: the Calculator's own totals show 43 positions × $96,155 = $4,134,665 statewide for this line, against a $2,064,600 appropriation in HB 225 — roughly double. Can DDOE confirm this gap and explain how the Calculator's output has been reconciled against the actual appropriation to date, if at all?  [BR-CO-009]</x:t>
        </x:is>
      </x:c>
      <x:c r="D4" s="17" t="n"/>
    </x:row>
    <x:row r="5" s="76" customFormat="1" ht="75" customHeight="1">
      <x:c r="A5" s="16" t="n">
        <x:v>3</x:v>
      </x:c>
      <x:c r="B5" s="17" t="inlineStr">
        <x:is>
          <x:t xml:space="preserve">Who belong to the instructional supports?</x:t>
        </x:is>
      </x:c>
      <x:c r="C5" s="17" t="inlineStr">
        <x:is>
          <x:t xml:space="preserve">This needs careful to distinguish between unit-generated positions and appropriation-funded programs. From the FY2026 budget, many instructional support items (e.g., Math Coaches, DE Literacy Plan, Early Literacy Coaches, Related Services, Opportunity Funding) are appropriations, not generated personal ujnits. They appear as line items under District and Charter Operations rather than as Title 14 personnel formula. </x:t>
        </x:is>
      </x:c>
      <x:c r="D5" s="18" t="inlineStr">
        <x:is>
          <x:t xml:space="preserve">https://legis.delaware.gov/BillDetail/142565</x:t>
        </x:is>
      </x:c>
    </x:row>
    <x:row r="6" s="76" customFormat="1" ht="37.5" customHeight="1">
      <x:c r="A6" s="16" t="n">
        <x:v>4</x:v>
      </x:c>
      <x:c r="B6" s="17" t="inlineStr">
        <x:is>
          <x:t xml:space="preserve">Who is the person that will provide each type of data?</x:t>
        </x:is>
      </x:c>
      <x:c r="C6" s="17" t="n"/>
      <x:c r="D6" s="17" t="n"/>
    </x:row>
  </x:sheetData>
  <x:mergeCells>
    <x:mergeCell ref="A1:D1"/>
  </x:mergeCells>
  <x:hyperlinks>
    <x:hyperlink xmlns:r="http://schemas.openxmlformats.org/officeDocument/2006/relationships" ref="D5" r:id="Rea46d09cb14547e1"/>
  </x:hyperlinks>
  <x:pageMargins left="0.7" right="0.7" top="0.75" bottom="0.75" header="0.3" footer="0.3"/>
</x:worksheet>
</file>

<file path=xl/worksheets/sheet4.xml><?xml version="1.0" encoding="utf-8"?>
<x:worksheet xmlns:x="http://schemas.openxmlformats.org/spreadsheetml/2006/main">
  <x:sheetFormatPr baseColWidth="8" defaultColWidth="26.85546875" defaultRowHeight="15"/>
  <x:cols>
    <x:col min="1" max="1" width="15.140625" style="3" customWidth="1"/>
    <x:col min="2" max="2" width="14.5703125" style="3" customWidth="1"/>
    <x:col min="3" max="3" width="29.42578125" style="3" customWidth="1"/>
    <x:col min="4" max="4" width="12.140625" style="4" customWidth="1"/>
    <x:col min="5" max="5" width="35.7109375" style="3" customWidth="1"/>
    <x:col min="6" max="6" width="14.85546875" style="3" customWidth="1"/>
    <x:col min="7" max="7" width="13.5703125" style="3" customWidth="1"/>
    <x:col min="8" max="8" width="47" style="3" customWidth="1"/>
    <x:col min="9" max="9" width="26.85546875" style="3" customWidth="1"/>
    <x:col min="10" max="16384" width="26.85546875" style="3" customWidth="1"/>
  </x:cols>
  <x:sheetData>
    <x:row r="1" s="76" customFormat="1" ht="18.75" customHeight="1">
      <x:c r="A1" s="81" t="inlineStr">
        <x:is>
          <x:t xml:space="preserve">Delaware School Funding Formula Technical Reference</x:t>
        </x:is>
      </x:c>
      <x:c r="B1" s="82" t="n"/>
      <x:c r="C1" s="82" t="n"/>
      <x:c r="D1" s="82" t="n"/>
      <x:c r="E1" s="82" t="n"/>
      <x:c r="F1" s="82" t="n"/>
      <x:c r="G1" s="82" t="n"/>
      <x:c r="H1" s="82" t="n"/>
      <x:c r="I1" s="82" t="n"/>
      <x:c r="J1" s="82" t="n"/>
      <x:c r="K1" s="83" t="n"/>
    </x:row>
    <x:row r="2" s="76" customFormat="1" ht="28.5" customHeight="1">
      <x:c r="A2" s="6" t="inlineStr">
        <x:is>
          <x:t xml:space="preserve">Funding Component</x:t>
        </x:is>
      </x:c>
      <x:c r="B2" s="6" t="inlineStr">
        <x:is>
          <x:t xml:space="preserve">Allocation Type</x:t>
        </x:is>
      </x:c>
      <x:c r="C2" s="6" t="inlineStr">
        <x:is>
          <x:t xml:space="preserve">Current Formula</x:t>
        </x:is>
      </x:c>
      <x:c r="D2" s="6" t="inlineStr">
        <x:is>
          <x:t xml:space="preserve">Authority/Citation</x:t>
        </x:is>
      </x:c>
      <x:c r="E2" s="6" t="inlineStr">
        <x:is>
          <x:t xml:space="preserve">Business Rule</x:t>
        </x:is>
      </x:c>
      <x:c r="F2" s="6" t="inlineStr">
        <x:is>
          <x:t xml:space="preserve">Data Source</x:t>
        </x:is>
      </x:c>
      <x:c r="G2" s="6" t="inlineStr">
        <x:is>
          <x:t xml:space="preserve">Data Time</x:t>
        </x:is>
      </x:c>
      <x:c r="H2" s="6" t="inlineStr">
        <x:is>
          <x:t xml:space="preserve">Implemtable Business Rules</x:t>
        </x:is>
      </x:c>
      <x:c r="I2" s="6" t="inlineStr">
        <x:is>
          <x:t xml:space="preserve">Official Code / Source</x:t>
        </x:is>
      </x:c>
      <x:c r="J2" s="6" t="inlineStr">
        <x:is>
          <x:t xml:space="preserve">Status</x:t>
        </x:is>
      </x:c>
      <x:c r="K2" s="6" t="inlineStr">
        <x:is>
          <x:t xml:space="preserve">Notes</x:t>
        </x:is>
      </x:c>
    </x:row>
    <x:row r="3" s="76" customFormat="1" ht="95.0999984741211" customHeight="1">
      <x:c r="A3" s="2" t="inlineStr">
        <x:is>
          <x:t xml:space="preserve">K–3 Regular Education</x:t>
        </x:is>
      </x:c>
      <x:c r="B3" s="2" t="inlineStr">
        <x:is>
          <x:t xml:space="preserve">Unit</x:t>
        </x:is>
      </x:c>
      <x:c r="C3" s="2" t="inlineStr">
        <x:is>
          <x:t xml:space="preserve">1 position per 16.2 students</x:t>
        </x:is>
      </x:c>
      <x:c r="D3" s="7" t="inlineStr">
        <x:is>
          <x:t xml:space="preserve">14 Del. C. §1703(a)(2)</x:t>
        </x:is>
      </x:c>
      <x:c r="E3" s="2" t="inlineStr">
        <x:is>
          <x:t xml:space="preserve">A student shall be counted in the K–3 regular education unit if the student is enrolled in kindergarten through grade 3 and not counted in the basic unit, intensive unit or complex unit.</x:t>
        </x:is>
      </x:c>
      <x:c r="F3" s="3" t="inlineStr">
        <x:is>
          <x:t xml:space="preserve">Data Service Center (DSC)</x:t>
        </x:is>
      </x:c>
      <x:c r="G3" s="3" t="inlineStr">
        <x:is>
          <x:t xml:space="preserve">September 30 each year</x:t>
        </x:is>
      </x:c>
      <x:c r="H3" s="3" t="inlineStr">
        <x:is>
          <x:t xml:space="preserve">Count students enrolled in Kindergarten through Grade 3 who are not counted in the Basic, Intensive, or Complex Special Education units.</x:t>
        </x:is>
      </x:c>
      <x:c r="I3" s="3" t="inlineStr">
        <x:is>
          <x:t xml:space="preserve">https://delcode.delaware.gov/title14/c017/index.html</x:t>
        </x:is>
      </x:c>
      <x:c r="J3" s="4" t="inlineStr">
        <x:is>
          <x:t xml:space="preserve">verified</x:t>
        </x:is>
      </x:c>
      <x:c r="K3" s="1" t="inlineStr">
        <x:is>
          <x:t xml:space="preserve">NEW RULE (2026-07-22): District and charter eligible. See 'New Rule Updates' row 15.</x:t>
        </x:is>
      </x:c>
    </x:row>
    <x:row r="4" s="76" customFormat="1" ht="95.0999984741211" customHeight="1">
      <x:c r="A4" s="2" t="inlineStr">
        <x:is>
          <x:t xml:space="preserve">Grades 4–12 Regular Education</x:t>
        </x:is>
      </x:c>
      <x:c r="B4" s="2" t="inlineStr">
        <x:is>
          <x:t xml:space="preserve">Unit</x:t>
        </x:is>
      </x:c>
      <x:c r="C4" s="2" t="inlineStr">
        <x:is>
          <x:t xml:space="preserve">1 position per 20 students</x:t>
        </x:is>
      </x:c>
      <x:c r="D4" s="7" t="inlineStr">
        <x:is>
          <x:t xml:space="preserve">14 Del. C. §1703(a)(3)</x:t>
        </x:is>
      </x:c>
      <x:c r="E4" s="3" t="inlineStr">
        <x:is>
          <x:t xml:space="preserve">A student shall be counted in the Grades 4–12 Regular Education Unit if the student is enrolled in grades 4 through 12 and not identified as eligible for special education and related services.</x:t>
        </x:is>
      </x:c>
      <x:c r="F4" s="3" t="inlineStr">
        <x:is>
          <x:t xml:space="preserve">Data Service Center (DSC)</x:t>
        </x:is>
      </x:c>
      <x:c r="G4" s="3" t="inlineStr">
        <x:is>
          <x:t xml:space="preserve">September 30 each year</x:t>
        </x:is>
      </x:c>
      <x:c r="H4" s="3" t="inlineStr">
        <x:is>
          <x:t xml:space="preserve">Count a student in the Grades 4–12 Regular Education Unit if the student is enrolled in Grades 4 through 12 and is not identified as eligible for special education and related services.</x:t>
        </x:is>
      </x:c>
      <x:c r="I4" s="3" t="inlineStr">
        <x:is>
          <x:t xml:space="preserve">https://delcode.delaware.gov/title14/c017/index.html</x:t>
        </x:is>
      </x:c>
      <x:c r="J4" s="4" t="inlineStr">
        <x:is>
          <x:t xml:space="preserve">verified</x:t>
        </x:is>
      </x:c>
      <x:c r="K4" s="11" t="inlineStr">
        <x:is>
          <x:t xml:space="preserve">NEW RULE (2026-07-22): District and charter eligible. See 'New Rule Updates' row 16.</x:t>
        </x:is>
      </x:c>
    </x:row>
    <x:row r="5" s="76" customFormat="1" ht="129.9499969482422" customHeight="1">
      <x:c r="A5" s="2" t="inlineStr">
        <x:is>
          <x:t xml:space="preserve">Basic Special Education</x:t>
        </x:is>
      </x:c>
      <x:c r="B5" s="2" t="inlineStr">
        <x:is>
          <x:t xml:space="preserve">Unit</x:t>
        </x:is>
      </x:c>
      <x:c r="C5" s="2" t="inlineStr">
        <x:is>
          <x:t xml:space="preserve">1 position per 8.4 students</x:t>
        </x:is>
      </x:c>
      <x:c r="D5" s="7" t="inlineStr">
        <x:is>
          <x:t xml:space="preserve">14 Del. C. §1703(a)(4)</x:t>
        </x:is>
      </x:c>
      <x:c r="E5" s="2" t="inlineStr">
        <x:is>
          <x:t xml:space="preserve">A student shall be counted in the basic unit if the student is enrolled in kindergarten through grade 12; identified as eligible for special education and related services; and not counted in the intensive unit or the complex unit.</x:t>
        </x:is>
      </x:c>
      <x:c r="F5" s="3" t="inlineStr">
        <x:is>
          <x:t xml:space="preserve">Data Service Center (DSC)</x:t>
        </x:is>
      </x:c>
      <x:c r="G5" s="3" t="inlineStr">
        <x:is>
          <x:t xml:space="preserve">September 30 each year</x:t>
        </x:is>
      </x:c>
      <x:c r="H5" s="3" t="inlineStr">
        <x:is>
          <x:t xml:space="preserve">Count a student in the Basic Special Education Unit if the student is enrolled in Kindergarten through Grade 12, is identified as eligible for special education and related services, and is not counted in the Intensive Special Education Unit or the Complex Special Education Unit.</x:t>
        </x:is>
      </x:c>
      <x:c r="I5" s="3" t="inlineStr">
        <x:is>
          <x:t xml:space="preserve">https://delcode.delaware.gov/title14/c017/index.html</x:t>
        </x:is>
      </x:c>
      <x:c r="J5" s="4" t="inlineStr">
        <x:is>
          <x:t xml:space="preserve">verified</x:t>
        </x:is>
      </x:c>
      <x:c r="K5" s="84" t="inlineStr">
        <x:is>
          <x:t xml:space="preserve">14 Del. C. §1703(7) Counting students in preschool, basic, intensive, or complex shall be based on the Individual Education Program (IEP) and
according to rules and rubrics described in Department of Education regulations.
NEW RULE (2026-07-22): Pre-K–12; district and charter eligible. Confirm Pre-K citation/scope. See row 17 of 'New Rule Updates'.</x:t>
        </x:is>
      </x:c>
    </x:row>
    <x:row r="6" s="76" customFormat="1" ht="129.9499969482422" customHeight="1">
      <x:c r="A6" s="2" t="inlineStr">
        <x:is>
          <x:t xml:space="preserve">Intensive Special Education</x:t>
        </x:is>
      </x:c>
      <x:c r="B6" s="2" t="inlineStr">
        <x:is>
          <x:t xml:space="preserve">Unit</x:t>
        </x:is>
      </x:c>
      <x:c r="C6" s="2" t="inlineStr">
        <x:is>
          <x:t xml:space="preserve">1 position per 6 students</x:t>
        </x:is>
      </x:c>
      <x:c r="D6" s="7" t="inlineStr">
        <x:is>
          <x:t xml:space="preserve">14 Del. C. §1703(a)(5)</x:t>
        </x:is>
      </x:c>
      <x:c r="E6" s="2" t="inlineStr">
        <x:is>
          <x:t xml:space="preserve">A student shall be counted in the intensive unit if the student is enrolled in preschool through grade 12; identified as a student eligible for special education; and in need of a moderate level of instructional, behavioral, personal, or health support as described in §1703(d)(5).</x:t>
        </x:is>
      </x:c>
      <x:c r="F6" s="3" t="inlineStr">
        <x:is>
          <x:t xml:space="preserve">Data Service Center (DSC)</x:t>
        </x:is>
      </x:c>
      <x:c r="G6" s="3" t="inlineStr">
        <x:is>
          <x:t xml:space="preserve">September 30 each year</x:t>
        </x:is>
      </x:c>
      <x:c r="H6" s="3" t="inlineStr">
        <x:is>
          <x:t xml:space="preserve">Count a student in the Intensive Special Education Unit if the student is enrolled in Preschool through Grade 12, is eligible for special education, and requires a moderate level of instructional, behavioral, personal, or health support, as defined by Title 14 and DDOE regulations.</x:t>
        </x:is>
      </x:c>
      <x:c r="I6" s="3" t="inlineStr">
        <x:is>
          <x:t xml:space="preserve">https://delcode.delaware.gov/title14/c017/index.html</x:t>
        </x:is>
      </x:c>
      <x:c r="J6" s="4" t="inlineStr">
        <x:is>
          <x:t xml:space="preserve">verified</x:t>
        </x:is>
      </x:c>
      <x:c r="K6" s="105" t="n"/>
    </x:row>
    <x:row r="7" s="76" customFormat="1" ht="129.9499969482422" customHeight="1">
      <x:c r="A7" s="2" t="inlineStr">
        <x:is>
          <x:t xml:space="preserve">Complex Special Education</x:t>
        </x:is>
      </x:c>
      <x:c r="B7" s="2" t="inlineStr">
        <x:is>
          <x:t xml:space="preserve">Unit</x:t>
        </x:is>
      </x:c>
      <x:c r="C7" s="2" t="inlineStr">
        <x:is>
          <x:t xml:space="preserve">1 position per 2.6 students</x:t>
        </x:is>
      </x:c>
      <x:c r="D7" s="7" t="inlineStr">
        <x:is>
          <x:t xml:space="preserve">14 Del. C. §1703(a)(6)</x:t>
        </x:is>
      </x:c>
      <x:c r="E7" s="2" t="inlineStr">
        <x:is>
          <x:t xml:space="preserve">A student shall be counted in the complex unit if the student is enrolled in preschool through grade 12; identified as a student eligible for special education; and in need of a high level of instructional, behavioral, personal, or health support as described in §1703(d)(6).</x:t>
        </x:is>
      </x:c>
      <x:c r="F7" s="3" t="inlineStr">
        <x:is>
          <x:t xml:space="preserve">Data Service Center (DSC)</x:t>
        </x:is>
      </x:c>
      <x:c r="G7" s="3" t="inlineStr">
        <x:is>
          <x:t xml:space="preserve">September 30 each year</x:t>
        </x:is>
      </x:c>
      <x:c r="H7" s="3" t="inlineStr">
        <x:is>
          <x:t xml:space="preserve">Count a student in the Complex Special Education Unit if the student is enrolled in Preschool through Grade 12, is eligible for special education, and requires a high level of instructional, behavioral, personal, or health support, as defined by Title 14 and DDOE regulations.</x:t>
        </x:is>
      </x:c>
      <x:c r="I7" s="3" t="inlineStr">
        <x:is>
          <x:t xml:space="preserve">https://delcode.delaware.gov/title14/c017/index.html</x:t>
        </x:is>
      </x:c>
      <x:c r="J7" s="4" t="inlineStr">
        <x:is>
          <x:t xml:space="preserve">verified</x:t>
        </x:is>
      </x:c>
      <x:c r="K7" s="106" t="n"/>
    </x:row>
    <x:row r="8" s="76" customFormat="1" ht="228" customHeight="1">
      <x:c r="A8" s="2" t="inlineStr">
        <x:is>
          <x:t xml:space="preserve">Career &amp; Technical Education</x:t>
        </x:is>
      </x:c>
      <x:c r="B8" s="2" t="inlineStr">
        <x:is>
          <x:t xml:space="preserve">Occupational-Vocational Unit</x:t>
        </x:is>
      </x:c>
      <x:c r="C8" s="2" t="inlineStr">
        <x:is>
          <x:t xml:space="preserve">1 unit per 27,000 pupil minutes (or 1 unit per 30 students for county vocational districts)</x:t>
        </x:is>
      </x:c>
      <x:c r="D8" s="7" t="inlineStr">
        <x:is>
          <x:t xml:space="preserve">14 Del. C. §1703(9)(g)</x:t>
        </x:is>
      </x:c>
      <x:c r="E8" s="2" t="inlineStr">
        <x:is>
          <x:t xml:space="preserve">An occupational-vocational unit for financing purposes shall mean 27,000 pupil minutes per week; provided, however, units shall be counted on the basis of 1 unit for each 30 students for students enrolled in the New Castle County Vocational-Technical School District, the Kent County Vocational-Technical School District and the Sussex County Vocatio+D12al-Technical School District. Computation of 27,000 pupil minutes per week shall be in accordance with the rules and regulations established by the Department of Education.</x:t>
        </x:is>
      </x:c>
      <x:c r="F8" s="3" t="inlineStr">
        <x:is>
          <x:t xml:space="preserve">Data Service Center (DSC)</x:t>
        </x:is>
      </x:c>
      <x:c r="G8" s="3" t="inlineStr">
        <x:is>
          <x:t xml:space="preserve">September 30 each year</x:t>
        </x:is>
      </x:c>
      <x:c r="H8" s="3" t="inlineStr">
        <x:is>
          <x:t xml:space="preserve">Generate one Occupational-Vocational Unit for every 27,000 pupil minutes per week. For the New Castle County, Kent County, and Sussex County Vocational-Technical School Districts, generate one Occupational-Vocational Unit for every 30 enrolled students.</x:t>
        </x:is>
      </x:c>
      <x:c r="I8" s="3" t="inlineStr">
        <x:is>
          <x:t xml:space="preserve">https://delcode.delaware.gov/title14/c017/index.html</x:t>
        </x:is>
      </x:c>
      <x:c r="J8" s="4" t="inlineStr">
        <x:is>
          <x:t xml:space="preserve">verified</x:t>
        </x:is>
      </x:c>
      <x:c r="K8" s="3" t="inlineStr">
        <x:is>
          <x:t xml:space="preserve">There are 3 business rules for CTE </x:t>
        </x:is>
      </x:c>
    </x:row>
    <x:row r="9" s="76" customFormat="1" ht="180" customHeight="1">
      <x:c r="A9" s="2" t="inlineStr">
        <x:is>
          <x:t xml:space="preserve">Career &amp; Technical Education</x:t>
        </x:is>
      </x:c>
      <x:c r="B9" s="2" t="inlineStr">
        <x:is>
          <x:t xml:space="preserve">Occupational-Vocational Unit</x:t>
        </x:is>
      </x:c>
      <x:c r="C9" s="2" t="inlineStr">
        <x:is>
          <x:t xml:space="preserve">1 unit per 27,000 pupil minutes (or 1 unit per 30 students for county vocational districts)</x:t>
        </x:is>
      </x:c>
      <x:c r="D9" s="4" t="inlineStr">
        <x:is>
          <x:t xml:space="preserve">14 Del. C. §1703(9)(h))</x:t>
        </x:is>
      </x:c>
      <x:c r="E9" s="3" t="inlineStr">
        <x:is>
          <x:t xml:space="preserve">Notwithstanding the fact that such pupils have been counted in regular units of pupils, grades 7 to 12, inclusive, in the same or another school district, pupils who are enrolled in a vocational or occupational education program which has been approved annually by the Department of Education and which is conducted by any public school district shall also be counted for entitlement to vocational units.</x:t>
        </x:is>
      </x:c>
      <x:c r="F9" s="3" t="inlineStr">
        <x:is>
          <x:t xml:space="preserve">Data Service Center (DSC)</x:t>
        </x:is>
      </x:c>
      <x:c r="G9" s="3" t="inlineStr">
        <x:is>
          <x:t xml:space="preserve">September 30 each year</x:t>
        </x:is>
      </x:c>
      <x:c r="H9" s="3" t="inlineStr">
        <x:is>
          <x:t xml:space="preserve">Count students enrolled in a DDOE-approved occupational-vocational education program toward Occupational-Vocational Units, even if they have already been counted in Regular Education Units.</x:t>
        </x:is>
      </x:c>
      <x:c r="I9" s="3" t="inlineStr">
        <x:is>
          <x:t xml:space="preserve">https://delcode.delaware.gov/title14/c017/index.html</x:t>
        </x:is>
      </x:c>
      <x:c r="J9" s="4" t="inlineStr">
        <x:is>
          <x:t xml:space="preserve">verified</x:t>
        </x:is>
      </x:c>
      <x:c r="K9" s="3" t="inlineStr">
        <x:is>
          <x:t xml:space="preserve">There are 3 business rules for CTE </x:t>
        </x:is>
      </x:c>
    </x:row>
    <x:row r="10" s="76" customFormat="1" ht="120" customHeight="1">
      <x:c r="A10" s="2" t="inlineStr">
        <x:is>
          <x:t xml:space="preserve">Career &amp; Technical Education</x:t>
        </x:is>
      </x:c>
      <x:c r="B10" s="2" t="inlineStr">
        <x:is>
          <x:t xml:space="preserve">Occupational-Vocational Unit</x:t>
        </x:is>
      </x:c>
      <x:c r="C10" s="2" t="inlineStr">
        <x:is>
          <x:t xml:space="preserve">1 unit per 27,000 pupil minutes (or 1 unit per 30 students for county vocational districts)</x:t>
        </x:is>
      </x:c>
      <x:c r="D10" s="4" t="inlineStr">
        <x:is>
          <x:t xml:space="preserve">14 Del. C. §1703(9)(i)</x:t>
        </x:is>
      </x:c>
      <x:c r="E10" s="3" t="inlineStr">
        <x:is>
          <x:t xml:space="preserve">Pupils having been counted in the occupational-vocational units of pupils shall be deducted from the regular unit entitlement of a comprehensive high school according to the following formula: Occupational-vocational units × 0.5 = deductible units.</x:t>
        </x:is>
      </x:c>
      <x:c r="F10" s="3" t="inlineStr">
        <x:is>
          <x:t xml:space="preserve">Data Service Center (DSC)</x:t>
        </x:is>
      </x:c>
      <x:c r="G10" s="3" t="inlineStr">
        <x:is>
          <x:t xml:space="preserve">September 30 each year</x:t>
        </x:is>
      </x:c>
      <x:c r="H10" s="3" t="inlineStr">
        <x:is>
          <x:t xml:space="preserve">Reduce the Regular Education Unit entitlement of a comprehensive high school by 0.5 for each Occupational-Vocational Unit generated.</x:t>
        </x:is>
      </x:c>
      <x:c r="I10" s="3" t="inlineStr">
        <x:is>
          <x:t xml:space="preserve">https://delcode.delaware.gov/title14/c017/index.html</x:t>
        </x:is>
      </x:c>
      <x:c r="J10" s="4" t="inlineStr">
        <x:is>
          <x:t xml:space="preserve">verified</x:t>
        </x:is>
      </x:c>
      <x:c r="K10" s="3" t="inlineStr">
        <x:is>
          <x:t xml:space="preserve">There are 3 business rules for CTE </x:t>
        </x:is>
      </x:c>
    </x:row>
    <x:row r="11" s="76" customFormat="1" ht="165" customHeight="1">
      <x:c r="A11" s="2" t="inlineStr">
        <x:is>
          <x:t xml:space="preserve">Principal</x:t>
        </x:is>
      </x:c>
      <x:c r="B11" s="3" t="inlineStr">
        <x:is>
          <x:t xml:space="preserve">Position</x:t>
        </x:is>
      </x:c>
      <x:c r="C11" s="3" t="inlineStr">
        <x:is>
          <x:t xml:space="preserve">1 principal per administrative unit with ≥ 15 Divions I units</x:t>
        </x:is>
      </x:c>
      <x:c r="D11" s="4" t="inlineStr">
        <x:is>
          <x:t xml:space="preserve">14 Del. C. §1307(2)</x:t>
        </x:is>
      </x:c>
      <x:c r="E11" s="3" t="inlineStr">
        <x:is>
          <x:t xml:space="preserve">A reorganized school district may employ one full-time principal for each administrative unit in a school building or combination of school buildings having 15 or more Division I state units of pupils. Division I state units in excess of 15 in one school building qualifying for a full-time principal shall not be counted toward entitlement for a principal for a combination of buildings.</x:t>
        </x:is>
      </x:c>
      <x:c r="F11" s="3" t="inlineStr">
        <x:is>
          <x:t xml:space="preserve">DOE Employment Data</x:t>
        </x:is>
      </x:c>
      <x:c r="G11" s="3" t="inlineStr">
        <x:is>
          <x:t xml:space="preserve">September 30 each year</x:t>
        </x:is>
      </x:c>
      <x:c r="H11" s="1" t="inlineStr">
        <x:is>
          <x:t xml:space="preserve">Allocate one full-time principal to each administrative unit in a school building or combination of school buildings with 15 or more Division I state units. Do not use Division I state units exceeding 15 from a qualifying school building to establish principal entitlement for another administrative unit.</x:t>
        </x:is>
      </x:c>
      <x:c r="I11" s="3" t="inlineStr">
        <x:is>
          <x:t xml:space="preserve">https://delcode.delaware.gov/title14/c013/index.html</x:t>
        </x:is>
      </x:c>
      <x:c r="J11" s="4" t="inlineStr">
        <x:is>
          <x:t xml:space="preserve">verified</x:t>
        </x:is>
      </x:c>
    </x:row>
    <x:row r="12" s="76" customFormat="1" ht="225" customHeight="1">
      <x:c r="A12" s="2" t="inlineStr">
        <x:is>
          <x:t xml:space="preserve">Principal Salary</x:t>
        </x:is>
      </x:c>
      <x:c r="B12" s="3" t="inlineStr">
        <x:is>
          <x:t xml:space="preserve">Compensation</x:t>
        </x:is>
      </x:c>
      <x:c r="C12" s="3" t="inlineStr">
        <x:is>
          <x:t xml:space="preserve">Base Salary + Administrative Responsibility Supplement</x:t>
        </x:is>
      </x:c>
      <x:c r="D12" s="4" t="inlineStr">
        <x:is>
          <x:t xml:space="preserve">14 Del. C. §1307</x:t>
        </x:is>
      </x:c>
      <x:c r="E12" s="3" t="inlineStr">
        <x:is>
          <x:t xml:space="preserve">A principal who is subordinate to a chief school officer in a district shall receive as a salary the amount for which that principal qualifies under §1316 of this title and the schedule set forth in §1305(a), (b), and (d) of this title, plus an annual amount for administrative responsibility. The amount for administrative responsibility shall be determined either in accordance with the statutory schedule or by multiplying the appropriate index value by the amount provided under §1305(a), (b), and (d), whichever is greater.</x:t>
        </x:is>
      </x:c>
      <x:c r="F12" s="3" t="inlineStr">
        <x:is>
          <x:t xml:space="preserve">DOE Employment Data</x:t>
        </x:is>
      </x:c>
      <x:c r="G12" s="3" t="inlineStr">
        <x:is>
          <x:t xml:space="preserve">September 30 each year</x:t>
        </x:is>
      </x:c>
      <x:c r="H12" s="3" t="inlineStr">
        <x:is>
          <x:t xml:space="preserve">Calculate the principal's annual salary by:
Determining the principal's base salary under §§1305 and 1316.
Calculating the administrative responsibility supplement using the statutory salary schedule based on years of administrative experience and number of teachers.
Calculating the administrative responsibility supplement using the indexed schedule based on years of administrative experience and Division I Units.
Selecting the greater of the two administrative responsibility supplements.
Adding the selected supplement to the base salary.</x:t>
        </x:is>
      </x:c>
      <x:c r="I12" s="3" t="inlineStr">
        <x:is>
          <x:t xml:space="preserve">https://delcode.delaware.gov/title14/c013/index.html</x:t>
        </x:is>
      </x:c>
      <x:c r="J12" s="4" t="inlineStr">
        <x:is>
          <x:t xml:space="preserve">verified</x:t>
        </x:is>
      </x:c>
    </x:row>
    <x:row r="13" s="76" customFormat="1" ht="225" customHeight="1">
      <x:c r="A13" s="2" t="inlineStr">
        <x:is>
          <x:t xml:space="preserve">Assistant Principal</x:t>
        </x:is>
      </x:c>
      <x:c r="B13" s="3" t="inlineStr">
        <x:is>
          <x:t xml:space="preserve">Position</x:t>
        </x:is>
      </x:c>
      <x:c r="C13" s="3" t="inlineStr">
        <x:is>
          <x:t xml:space="preserve">1 AP at 30 units; 2 at 55 units; +1 per additional 20 units</x:t>
        </x:is>
      </x:c>
      <x:c r="D13" s="4" t="inlineStr">
        <x:is>
          <x:t xml:space="preserve">14 Del. C. §1307(3)</x:t>
        </x:is>
      </x:c>
      <x:c r="E13" s="3" t="inlineStr">
        <x:is>
          <x:t xml:space="preserve">A school district may employ: One full-time assistant principal in a school enrolling 30 or more Division I units of pupils, or 65% of a unit for schools enrolling 25 but fewer than 30 Division I units; A second assistant principal when enrollment reaches 55 Division I units, or 65% of a unit when enrollment reaches 50 but fewer than 55 Division I units; One additional assistant principal for every 20 Division I units beyond the first 55. Any fractional units provided shall be assigned to the school that generated the fractional unit.</x:t>
        </x:is>
      </x:c>
      <x:c r="F13" s="3" t="inlineStr">
        <x:is>
          <x:t xml:space="preserve">DOE Employment Data</x:t>
        </x:is>
      </x:c>
      <x:c r="G13" s="3" t="inlineStr">
        <x:is>
          <x:t xml:space="preserve">September 30 each year</x:t>
        </x:is>
      </x:c>
      <x:c r="H13" s="3" t="inlineStr">
        <x:is>
          <x:t xml:space="preserve">Allocate assistant principal positions according to Division I unit enrollment:
Allocate 1.0 FTE when a school has 30 or more Division I units.
Allocate 0.65 FTE when a school has 25 to fewer than 30 Division I units.
Allocate a second 1.0 FTE when a school has 55 or more Division I units.
Allocate 0.65 FTE for the second position when a school has 50 to fewer than 55 Division I units.
Allocate one additional assistant principal for every 20 Division I units beyond the first 55.
Assign any fractional entitlement to the school that generated it.</x:t>
        </x:is>
      </x:c>
      <x:c r="I13" s="3" t="inlineStr">
        <x:is>
          <x:t xml:space="preserve">https://delcode.delaware.gov/title14/c013/index.html</x:t>
        </x:is>
      </x:c>
      <x:c r="J13" s="4" t="inlineStr">
        <x:is>
          <x:t xml:space="preserve">verified</x:t>
        </x:is>
      </x:c>
    </x:row>
    <x:row r="14" s="76" customFormat="1" ht="195" customHeight="1">
      <x:c r="A14" s="2" t="inlineStr">
        <x:is>
          <x:t xml:space="preserve">Assistant Principal Salary</x:t>
        </x:is>
      </x:c>
      <x:c r="B14" s="3" t="inlineStr">
        <x:is>
          <x:t xml:space="preserve">Compensation</x:t>
        </x:is>
      </x:c>
      <x:c r="C14" s="3" t="inlineStr">
        <x:is>
          <x:t xml:space="preserve">Base Salary + Administrative Responsibility Supplement</x:t>
        </x:is>
      </x:c>
      <x:c r="D14" s="4" t="inlineStr">
        <x:is>
          <x:t xml:space="preserve">14 Del. C. §1307(3)</x:t>
        </x:is>
      </x:c>
      <x:c r="E14" s="3" t="inlineStr">
        <x:is>
          <x:t xml:space="preserve">Assistant principals shall be paid from state funds for 12 months per year the amount for which they are eligible under §1305(a), (b), and (d) of this title, plus an annual amount for administrative responsibility. The amount for administrative responsibility shall be determined either in accordance with the statutory schedule or by multiplying the amount provided under §1305(a), (b), and (d) by the appropriate index value, whichever is greater.</x:t>
        </x:is>
      </x:c>
      <x:c r="F14" s="3" t="inlineStr">
        <x:is>
          <x:t xml:space="preserve">DOE Employment Data</x:t>
        </x:is>
      </x:c>
      <x:c r="G14" s="3" t="inlineStr">
        <x:is>
          <x:t xml:space="preserve">September 30 each year</x:t>
        </x:is>
      </x:c>
      <x:c r="H14" s="3" t="inlineStr">
        <x:is>
          <x:t xml:space="preserve">Calculate the assistant principal's annual salary by:
Determining the assistant principal's base salary under §1305.
Calculating the administrative responsibility supplement using the statutory salary schedule based on years of administrative experience.
Calculating the administrative responsibility supplement using the indexed schedule.
Selecting the greater of the two administrative responsibility supplements.
Adding the selected supplement to the base salary.</x:t>
        </x:is>
      </x:c>
      <x:c r="I14" s="3" t="inlineStr">
        <x:is>
          <x:t xml:space="preserve">https://delcode.delaware.gov/title14/c013/index.html</x:t>
        </x:is>
      </x:c>
      <x:c r="J14" s="4" t="inlineStr">
        <x:is>
          <x:t xml:space="preserve">verified</x:t>
        </x:is>
      </x:c>
    </x:row>
    <x:row r="15" s="76" customFormat="1" ht="114" customHeight="1">
      <x:c r="A15" s="2" t="inlineStr">
        <x:is>
          <x:t xml:space="preserve">Administrative secretaries, financial secretaries, senior secretaires, secretaries and clerks </x:t>
        </x:is>
      </x:c>
      <x:c r="B15" s="3" t="inlineStr">
        <x:is>
          <x:t xml:space="preserve">Compensation</x:t>
        </x:is>
      </x:c>
      <x:c r="C15" s="4" t="inlineStr">
        <x:is>
          <x:t xml:space="preserve">Salary Schedule</x:t>
        </x:is>
      </x:c>
      <x:c r="D15" s="4" t="inlineStr">
        <x:is>
          <x:t xml:space="preserve">14 Del. C. §1308(a)</x:t>
        </x:is>
      </x:c>
      <x:c r="E15" s="84" t="inlineStr">
        <x:is>
          <x:t xml:space="preserve">Administrative Assistant I, II, and III employees who work and are paid for 12 months per year shall be paid in accordance with the salary schedule established under 14 Del. C. §1308(a).</x:t>
        </x:is>
      </x:c>
      <x:c r="F15" s="3" t="inlineStr">
        <x:is>
          <x:t xml:space="preserve">DOE Employment Data</x:t>
        </x:is>
      </x:c>
      <x:c r="G15" s="3" t="inlineStr">
        <x:is>
          <x:t xml:space="preserve">September 30 each year</x:t>
        </x:is>
      </x:c>
      <x:c r="H15" s="3" t="inlineStr">
        <x:is>
          <x:t xml:space="preserve">Determine the salary for each eligible Administrative Assistant I, II, or III using the salary schedule in §1308(a).</x:t>
        </x:is>
      </x:c>
      <x:c r="I15" s="3" t="inlineStr">
        <x:is>
          <x:t xml:space="preserve">https://delcode.delaware.gov/title14/c013/index.html</x:t>
        </x:is>
      </x:c>
      <x:c r="J15" s="4" t="inlineStr">
        <x:is>
          <x:t xml:space="preserve">verified</x:t>
        </x:is>
      </x:c>
    </x:row>
    <x:row r="16" s="76" customFormat="1" ht="195" customHeight="1">
      <x:c r="A16" s="2" t="inlineStr">
        <x:is>
          <x:t xml:space="preserve">School nurse</x:t>
        </x:is>
      </x:c>
      <x:c r="B16" s="3" t="inlineStr">
        <x:is>
          <x:t xml:space="preserve">Position</x:t>
        </x:is>
      </x:c>
      <x:c r="C16" s="3" t="inlineStr">
        <x:is>
          <x:t xml:space="preserve">1 position per 40 Division I state units of pupils</x:t>
        </x:is>
      </x:c>
      <x:c r="D16" s="4" t="inlineStr">
        <x:is>
          <x:t xml:space="preserve">14 Del. C. §1310(b)</x:t>
        </x:is>
      </x:c>
      <x:c r="E16" s="84" t="inlineStr">
        <x:is>
          <x:t xml:space="preserve">A reorganized school district may employ school nurses to be paid from state funds at a rate of one nurse for each 40 state units of pupils. Each reorganized school district shall ensure that it has at least one school nurse per facility. Districts shall qualify for partial funding at the rate of 30% of the fractional part of 40 state units of pupils. Schools for the physically handicapped shall be funded in accordance with DDOE regulations.</x:t>
        </x:is>
      </x:c>
      <x:c r="F16" s="3" t="inlineStr">
        <x:is>
          <x:t xml:space="preserve">DOE Employment Data</x:t>
        </x:is>
      </x:c>
      <x:c r="G16" s="3" t="inlineStr">
        <x:is>
          <x:t xml:space="preserve">September 30 each year</x:t>
        </x:is>
      </x:c>
      <x:c r="H16" s="3" t="inlineStr">
        <x:is>
          <x:t xml:space="preserve">Allocate one school nurse for every 40 Division I state units of pupils. Ensure that each school facility has at least one school nurse. If the allocation formula does not provide one nurse per facility, allocate the additional nurse using funding under §§1707 or 1716 or local operating funds. Allocate partial funding equal to 30% of the fractional portion of 40 state units.</x:t>
        </x:is>
      </x:c>
      <x:c r="J16" s="4" t="inlineStr">
        <x:is>
          <x:t xml:space="preserve">verified</x:t>
        </x:is>
      </x:c>
    </x:row>
    <x:row r="17" s="76" customFormat="1" ht="60" customHeight="1">
      <x:c r="A17" s="2" t="inlineStr">
        <x:is>
          <x:t xml:space="preserve">School Nurse Salary</x:t>
        </x:is>
      </x:c>
      <x:c r="B17" s="3" t="inlineStr">
        <x:is>
          <x:t xml:space="preserve">Compensation</x:t>
        </x:is>
      </x:c>
      <x:c r="C17" s="3" t="inlineStr">
        <x:is>
          <x:t xml:space="preserve">Salary Schedule</x:t>
        </x:is>
      </x:c>
      <x:c r="D17" s="4" t="inlineStr">
        <x:is>
          <x:t xml:space="preserve">14 Del. C. §1310(a)</x:t>
        </x:is>
      </x:c>
      <x:c r="E17" s="1" t="inlineStr">
        <x:is>
          <x:t xml:space="preserve">All school nurses who hold the appropriate certificate shall be paid in accordance with §1305.</x:t>
        </x:is>
      </x:c>
      <x:c r="F17" s="3" t="inlineStr">
        <x:is>
          <x:t xml:space="preserve">DOE Employment Data</x:t>
        </x:is>
      </x:c>
      <x:c r="G17" s="3" t="inlineStr">
        <x:is>
          <x:t xml:space="preserve">September 30 each year</x:t>
        </x:is>
      </x:c>
      <x:c r="H17" s="3" t="inlineStr">
        <x:is>
          <x:t xml:space="preserve">Determine whether the school nurse holds the appropriate certification. If eligible, assign salary according to the salary schedule established in §1305.</x:t>
        </x:is>
      </x:c>
      <x:c r="J17" s="4" t="inlineStr">
        <x:is>
          <x:t xml:space="preserve">verified</x:t>
        </x:is>
      </x:c>
    </x:row>
    <x:row r="18" s="76" customFormat="1" ht="180" customHeight="1">
      <x:c r="A18" s="2" t="inlineStr">
        <x:is>
          <x:t xml:space="preserve">Director</x:t>
        </x:is>
      </x:c>
      <x:c r="B18" s="3" t="inlineStr">
        <x:is>
          <x:t xml:space="preserve">Position</x:t>
        </x:is>
      </x:c>
      <x:c r="C18" s="3" t="inlineStr">
        <x:is>
          <x:t xml:space="preserve">1 position for the first 200 Division I state units plus 1 additional position for each additional full 100 Division I state units (maximum 6)</x:t>
        </x:is>
      </x:c>
      <x:c r="D18" s="4" t="inlineStr">
        <x:is>
          <x:t xml:space="preserve">14 Del. C. §1321(e )(2)</x:t>
        </x:is>
      </x:c>
      <x:c r="E18" s="1" t="inlineStr">
        <x:is>
          <x:t xml:space="preserve">Directors for a period of 12 months per year at the rate of 1 for the first full 200 state units of pupils and 1 for each additional
full 100 state units of pupils not to exceed a total of 6 per reorganized school district;</x:t>
        </x:is>
      </x:c>
      <x:c r="G18" s="3" t="inlineStr">
        <x:is>
          <x:t xml:space="preserve">September 30 each year</x:t>
        </x:is>
      </x:c>
      <x:c r="H18" s="3" t="inlineStr">
        <x:is>
          <x:t xml:space="preserve">Allocate one 12-month Director for the first full 200 Division I state units. Allocate one additional Director for each additional full 100 Division I state units. Do not exceed six Director positions per reorganized school district.</x:t>
        </x:is>
      </x:c>
      <x:c r="J18" s="4" t="n"/>
      <x:c r="K18" s="11" t="inlineStr">
        <x:is>
          <x:t xml:space="preserve">PROPOSED NEW RULE (provided 2026-07-22): 1 Position for the first 200 Division I Positions plus 1 for each additional 100 Division I Positions (max of 6).
Prior workbook formula retained pending approval: 1 position for the first 200 Division I state units plus 1 additional position for each additional full 100 Division I state units (maximum 6).
Existing authority/citation: 14 Del. C. §1321(e )(2).
See 'New Rule Updates' sheet. Status: pending legal/policy verification.</x:t>
        </x:is>
      </x:c>
    </x:row>
    <x:row r="19" s="76" customFormat="1" ht="135" customHeight="1">
      <x:c r="A19" s="2" t="inlineStr">
        <x:is>
          <x:t xml:space="preserve">11-Month Supervisor</x:t>
        </x:is>
      </x:c>
      <x:c r="B19" s="3" t="inlineStr">
        <x:is>
          <x:t xml:space="preserve">Position</x:t>
        </x:is>
      </x:c>
      <x:c r="C19" s="11" t="inlineStr">
        <x:is>
          <x:t xml:space="preserve">1 position per 150 Division I state units</x:t>
        </x:is>
      </x:c>
      <x:c r="D19" s="4" t="inlineStr">
        <x:is>
          <x:t xml:space="preserve">14 Del. C. §1321(e )(4)</x:t>
        </x:is>
      </x:c>
      <x:c r="E19" s="3" t="inlineStr">
        <x:is>
          <x:t xml:space="preserve">Supervisors for a period of 11 months during the fiscal year 1982 and thereafter at the rate of 1 for each full 150 state units of
pupils. Those districts with less units than needed for a supervisor, the Department of Education shall provide support for the fractional
part of the first supervisor;</x:t>
        </x:is>
      </x:c>
      <x:c r="G19" s="3" t="inlineStr">
        <x:is>
          <x:t xml:space="preserve">September 30 each year</x:t>
        </x:is>
      </x:c>
      <x:c r="H19" s="3" t="inlineStr">
        <x:is>
          <x:t xml:space="preserve">Allocate one 11-month Supervisor for every full 150 Division I state units. If a district does not generate one full supervisor, allocate the appropriate fractional entitlement as provided by statute.</x:t>
        </x:is>
      </x:c>
      <x:c r="J19" s="4" t="n"/>
      <x:c r="K19" s="11" t="inlineStr">
        <x:is>
          <x:t xml:space="preserve">PROPOSED NEW RULE (provided 2026-07-22): 1 Position per 150 Division I Positions.
Prior workbook formula retained pending approval: 1 position per 150 Division I state units.
Existing authority/citation: 14 Del. C. §1321(e )(4).
See 'New Rule Updates' sheet. Status: pending legal/policy verification.</x:t>
        </x:is>
      </x:c>
    </x:row>
    <x:row r="20" s="76" customFormat="1" ht="210" customHeight="1">
      <x:c r="A20" s="2" t="inlineStr">
        <x:is>
          <x:t xml:space="preserve">Buildings and Grounds Supervisor</x:t>
        </x:is>
      </x:c>
      <x:c r="B20" s="3" t="inlineStr">
        <x:is>
          <x:t xml:space="preserve">Position</x:t>
        </x:is>
      </x:c>
      <x:c r="C20" s="3" t="inlineStr">
        <x:is>
          <x:t xml:space="preserve">1 position per district with at least 95 building units</x:t>
        </x:is>
      </x:c>
      <x:c r="D20" s="4" t="inlineStr">
        <x:is>
          <x:t xml:space="preserve">14 Del. C. §1321(14)</x:t>
        </x:is>
      </x:c>
      <x:c r="E20" s="1" t="inlineStr">
        <x:is>
          <x:t xml:space="preserve">Supervisor of buildings and grounds for a period of 12 months per year at the rate of 1 per reorganized school district. — For
a school district to have a building and grounds supervisor, it must have 95 or more building units as defined by the State Board of
Education. Supervisors so employed shall be paid in accordance with subsection (c) of this section. This position is included in the
total number of custodial personnel allowed;</x:t>
        </x:is>
      </x:c>
      <x:c r="G20" s="3" t="inlineStr">
        <x:is>
          <x:t xml:space="preserve">September 30 each year</x:t>
        </x:is>
      </x:c>
      <x:c r="H20" s="12" t="inlineStr">
        <x:is>
          <x:t xml:space="preserve">Allocate one 12-month Buildings and Grounds Supervisor only if the reorganized school district has 95 or more building units as defined by the State Board of Education.</x:t>
        </x:is>
      </x:c>
      <x:c r="J20" s="4" t="inlineStr">
        <x:is>
          <x:t xml:space="preserve">verified</x:t>
        </x:is>
      </x:c>
      <x:c r="K20" s="11" t="inlineStr">
        <x:is>
          <x:t xml:space="preserve">PROPOSED NEW RULE (provided 2026-07-22): 1 Position per District or Charter.
Prior workbook formula retained pending approval: 1 position per district with at least 95 building units.
Existing authority/citation: 14 Del. C. §1321(14).
See 'New Rule Updates' sheet. Status: pending legal/policy verification.</x:t>
        </x:is>
      </x:c>
    </x:row>
    <x:row r="21" s="76" customFormat="1" ht="300" customHeight="1">
      <x:c r="A21" s="2" t="inlineStr">
        <x:is>
          <x:t xml:space="preserve">Food Services Supervisor (Supervisors of school lunch)</x:t>
        </x:is>
      </x:c>
      <x:c r="B21" s="3" t="inlineStr">
        <x:is>
          <x:t xml:space="preserve">Position</x:t>
        </x:is>
      </x:c>
      <x:c r="C21" s="3" t="inlineStr">
        <x:is>
          <x:t xml:space="preserve">See statutory thresholds</x:t>
        </x:is>
      </x:c>
      <x:c r="D21" s="4" t="inlineStr">
        <x:is>
          <x:t xml:space="preserve">14 Del. C. §1321(e )(8)</x:t>
        </x:is>
      </x:c>
      <x:c r="E21" s="1" t="inlineStr">
        <x:is>
          <x:t xml:space="preserve">Supervisors of school lunch for a period of 12 months per year, such supervisors to be paid at the salary of “supervisors” as set
forth in subsection (c) of this section at the rate of:
a. One such supervisor in any district having less than 500 units having 4 or more schools with school lunch programs;
b. One in any district having 500 units or more, 1 such supervisor for every 500 full units. In addition, each such school district
shall employ such additional supervisors so that the total number of such supervisors equals 1 supervisor for each 300 full units to
be paid out of revenue receipts from cafeteria funds.</x:t>
        </x:is>
      </x:c>
      <x:c r="G21" s="3" t="inlineStr">
        <x:is>
          <x:t xml:space="preserve">September 30 each year</x:t>
        </x:is>
      </x:c>
      <x:c r="H21" s="3" t="inlineStr">
        <x:is>
          <x:t xml:space="preserve">If a district has fewer than 500 Division I state units and at least four schools operating lunch programs, allocate one Food Services Supervisor. If a district has 500 or more Division I state units, allocate one supervisor for every full 500 Division I state units. Additional supervisors required to achieve one supervisor per 300 full Division I state units shall be locally funded from cafeteria receipts.</x:t>
        </x:is>
      </x:c>
      <x:c r="J21" s="4" t="n"/>
      <x:c r="K21" s="11" t="inlineStr">
        <x:is>
          <x:t xml:space="preserve">PROPOSED NEW RULE (provided 2026-07-22): 1 Position per District or Charter. Earned at a rate of 1 Position per 500 Division I Positions Beyond the First 500.
Prior workbook formula retained pending approval: See statutory thresholds.
Existing authority/citation: 14 Del. C. §1321(e )(8).
See 'New Rule Updates' sheet. Status: pending legal/policy verification.</x:t>
        </x:is>
      </x:c>
    </x:row>
    <x:row r="22" s="76" customFormat="1" ht="105" customHeight="1">
      <x:c r="A22" s="2" t="inlineStr">
        <x:is>
          <x:t xml:space="preserve">Transportation Supervisor</x:t>
        </x:is>
      </x:c>
      <x:c r="B22" s="3" t="inlineStr">
        <x:is>
          <x:t xml:space="preserve">Position</x:t>
        </x:is>
      </x:c>
      <x:c r="C22" s="3" t="inlineStr">
        <x:is>
          <x:t xml:space="preserve">1 position per 7,500 enrolled pupils</x:t>
        </x:is>
      </x:c>
      <x:c r="D22" s="4" t="inlineStr">
        <x:is>
          <x:t xml:space="preserve">14 Del. C. §1321(e )(7)</x:t>
        </x:is>
      </x:c>
      <x:c r="E22" s="1" t="inlineStr">
        <x:is>
          <x:t xml:space="preserve">Supervisors of transportation for a period of 12 months per year at the rate of 1 such supervisor per 7,500 or more enrolled pupils. For districts that do not qualify for a transportation supervisor, fractional units shall be provided to allow for such personnel.</x:t>
        </x:is>
      </x:c>
      <x:c r="G22" s="3" t="inlineStr">
        <x:is>
          <x:t xml:space="preserve">September 30 each year</x:t>
        </x:is>
      </x:c>
      <x:c r="H22" s="3" t="inlineStr">
        <x:is>
          <x:t xml:space="preserve">Allocate one 12-month Transportation Supervisor for every 7,500 enrolled pupils. Districts that do not generate one full supervisor receive the applicable fractional entitlement.</x:t>
        </x:is>
      </x:c>
      <x:c r="J22" s="4" t="n"/>
      <x:c r="K22" s="11" t="inlineStr">
        <x:is>
          <x:t xml:space="preserve">PROPOSED NEW RULE (provided 2026-07-22): 1 Position per 7,500 Students.
Prior workbook formula retained pending approval: 1 position per 7,500 enrolled pupils.
Existing authority/citation: 14 Del. C. §1321(e )(7).
See 'New Rule Updates' sheet. Status: pending legal/policy verification.</x:t>
        </x:is>
      </x:c>
    </x:row>
    <x:row r="23" s="76" customFormat="1" ht="165" customHeight="1">
      <x:c r="A23" s="8" t="inlineStr">
        <x:is>
          <x:t xml:space="preserve">Reading Cadre</x:t>
        </x:is>
      </x:c>
      <x:c r="B23" s="13" t="n"/>
      <x:c r="C23" s="13" t="inlineStr">
        <x:is>
          <x:t xml:space="preserve">1 Reading Specialist per local school district (charters excluded)</x:t>
        </x:is>
      </x:c>
      <x:c r="D23" s="9" t="inlineStr">
        <x:is>
          <x:t xml:space="preserve"> FY2026 Appropriations  Act HB 225 §322(4)</x:t>
        </x:is>
      </x:c>
      <x:c r="E23" s="10" t="inlineStr">
        <x:is>
          <x:t xml:space="preserve">"$2,064.6 for Literacy Cadre. This appropriation will provide each local school district, excluding charter schools, with the state share of salaries in accordance with 14 Del. C. §1305 and the state share of the Division III Equalization Unit amount as defined in 14 Del. C. §1707 for one 10-month Reading Specialist. The purpose of this Specialist will be the creation of a Literacy Cadre...</x:t>
        </x:is>
      </x:c>
      <x:c r="J23" s="4" t="n"/>
      <x:c r="K23" s="11" t="inlineStr">
        <x:is>
          <x:t xml:space="preserve">PROPOSED NEW RULE (provided 2026-07-22): 1 Position per District or Charter.
Prior workbook formula retained pending approval: 1 Reading Specialist per local school district (charters excluded).
Existing authority/citation:  FY2026 Appropriations  Act HB 225 §322(4).
See 'New Rule Updates' sheet. Status: pending legal/policy verification.
ELIGIBILITY CLARIFICATION (2026-07-22): Reading Cadre applies to both districts and charter schools. Business rule confirmed; legal citation reconciliation remains pending.</x:t>
        </x:is>
      </x:c>
    </x:row>
    <x:row r="24" s="76" customFormat="1" ht="42.75" customHeight="1">
      <x:c r="A24" s="8" t="inlineStr">
        <x:is>
          <x:t xml:space="preserve">Administrative Support Professionals</x:t>
        </x:is>
      </x:c>
      <x:c r="D24" s="3" t="n"/>
    </x:row>
    <x:row r="25" s="76" customFormat="1" ht="28.5" customHeight="1">
      <x:c r="A25" s="8" t="inlineStr">
        <x:is>
          <x:t xml:space="preserve">Instructional Supports</x:t>
        </x:is>
      </x:c>
    </x:row>
    <x:row r="26" s="76" customFormat="1" ht="135" customHeight="1">
      <x:c r="A26" s="2" t="inlineStr">
        <x:is>
          <x:t xml:space="preserve">School Custodian Salary</x:t>
        </x:is>
      </x:c>
      <x:c r="B26" s="4" t="inlineStr">
        <x:is>
          <x:t xml:space="preserve">Compensation</x:t>
        </x:is>
      </x:c>
      <x:c r="C26" s="3" t="inlineStr">
        <x:is>
          <x:t xml:space="preserve">Salary Schedule</x:t>
        </x:is>
      </x:c>
      <x:c r="D26" s="4" t="inlineStr">
        <x:is>
          <x:t xml:space="preserve">14 Del. C. §1311(a), ©</x:t>
        </x:is>
      </x:c>
      <x:c r="E26" s="3" t="inlineStr">
        <x:is>
          <x:t xml:space="preserve">Custodians who have the qualifications required by the certifying board and who work and are paid for 12 months per year shall be paid in accordance with the salary schedule established under §1311(a). One twelfth of the annual salary shall be deducted for each month the employee is not employed.</x:t>
        </x:is>
      </x:c>
      <x:c r="G26" s="3" t="inlineStr">
        <x:is>
          <x:t xml:space="preserve">September 30 each year</x:t>
        </x:is>
      </x:c>
      <x:c r="H26" s="3" t="inlineStr">
        <x:is>
          <x:t xml:space="preserve">Determine whether the employee is a qualified Custodian, Assistant Chief Custodian, Chief Custodian, or Skilled Maintenance/Craftsperson employed on a 12-month basis. Assign the annual salary using the applicable salary schedule based on the employee's classification and years of experience. If the employee works fewer than 12 months, reduce the annual salary by one-twelfth for each month not employed.</x:t>
        </x:is>
      </x:c>
    </x:row>
    <x:row r="27" s="76" customFormat="1" ht="104.25" customHeight="1">
      <x:c r="A27" s="3" t="inlineStr">
        <x:is>
          <x:t xml:space="preserve">Superintendent</x:t>
        </x:is>
      </x:c>
      <x:c r="B27" s="3" t="inlineStr">
        <x:is>
          <x:t xml:space="preserve">Position </x:t>
        </x:is>
      </x:c>
      <x:c r="C27" s="3" t="inlineStr">
        <x:is>
          <x:t xml:space="preserve">1 position per reorganized school district</x:t>
        </x:is>
      </x:c>
      <x:c r="D27" s="4" t="inlineStr">
        <x:is>
          <x:t xml:space="preserve">14 Del. C. §1306(a)(b)</x:t>
        </x:is>
      </x:c>
      <x:c r="E27" s="3" t="inlineStr">
        <x:is>
          <x:t xml:space="preserve">Each reorganized school district may employ one superintendent to be paid from state funds. The superintendent shall not be charged against the district's personnel allotment.</x:t>
        </x:is>
      </x:c>
      <x:c r="F27" s="3" t="inlineStr">
        <x:is>
          <x:t xml:space="preserve">DOE Employment Data</x:t>
        </x:is>
      </x:c>
      <x:c r="G27" s="3" t="inlineStr">
        <x:is>
          <x:t xml:space="preserve">September 30 each year</x:t>
        </x:is>
      </x:c>
      <x:c r="H27" s="3" t="inlineStr">
        <x:is>
          <x:t xml:space="preserve">Allocate one state-funded superintendent position to each reorganized school district. Do not charge the position against the district's personnel allotment under Chapter 13</x:t>
        </x:is>
      </x:c>
      <x:c r="K27" s="11" t="inlineStr">
        <x:is>
          <x:t xml:space="preserve">PROPOSED NEW RULE (provided 2026-07-22): 1 Position per District or Charter.
Prior workbook formula retained pending approval: 1 position per reorganized school district.
Existing authority/citation: 14 Del. C. §1306(a)(b).
See 'New Rule Updates' sheet. Status: pending legal/policy verification.
ELIGIBILITY CLARIFICATION (2026-07-22): Superintendent applies to both districts and charter schools. Business rule confirmed; legal citation reconciliation remains pending.</x:t>
        </x:is>
      </x:c>
    </x:row>
    <x:row r="28" s="76" customFormat="1" ht="120" customHeight="1">
      <x:c r="A28" s="3" t="inlineStr">
        <x:is>
          <x:t xml:space="preserve">Superintendent Salary</x:t>
        </x:is>
      </x:c>
      <x:c r="B28" s="3" t="inlineStr">
        <x:is>
          <x:t xml:space="preserve">Compensation</x:t>
        </x:is>
      </x:c>
      <x:c r="C28" s="3" t="inlineStr">
        <x:is>
          <x:t xml:space="preserve">Base Salary + Administrative Responsibility Supplement</x:t>
        </x:is>
      </x:c>
      <x:c r="D28" s="4" t="inlineStr">
        <x:is>
          <x:t xml:space="preserve">14 Del. C. §1306(a)</x:t>
        </x:is>
      </x:c>
      <x:c r="E28" s="3" t="inlineStr">
        <x:is>
          <x:t xml:space="preserve">A superintendent who is the chief school officer of a district and who holds the appropriate certificate shall receive the salary determined under §§1305 and 1316 plus an annual administrative responsibility amount determined under the statutory schedules, whichever is greater.</x:t>
        </x:is>
      </x:c>
      <x:c r="F28" s="3" t="inlineStr">
        <x:is>
          <x:t xml:space="preserve">DOE Employment Data</x:t>
        </x:is>
      </x:c>
      <x:c r="G28" s="3" t="inlineStr">
        <x:is>
          <x:t xml:space="preserve">September 30 each year</x:t>
        </x:is>
      </x:c>
      <x:c r="H28" s="3" t="inlineStr">
        <x:is>
          <x:t xml:space="preserve">Calculate the superintendent's annual salary by determining the base salary under §§1305 and 1316, calculating the administrative responsibility amount using both the statutory dollar schedule and the indexed schedule, selecting the greater amount, and adding it to the base salary.</x:t>
        </x:is>
      </x:c>
    </x:row>
    <x:row r="29" s="76" customFormat="1" ht="90" customHeight="1">
      <x:c r="A29" s="3" t="inlineStr">
        <x:is>
          <x:t xml:space="preserve">Assistant Superintendent</x:t>
        </x:is>
      </x:c>
      <x:c r="B29" s="3" t="inlineStr">
        <x:is>
          <x:t xml:space="preserve">Position </x:t>
        </x:is>
      </x:c>
      <x:c r="C29" s="11" t="inlineStr">
        <x:is>
          <x:t xml:space="preserve">1 position for each full 300 Division I state units (maximum 2 positions per district)</x:t>
        </x:is>
      </x:c>
      <x:c r="D29" s="4" t="inlineStr">
        <x:is>
          <x:t xml:space="preserve">14 Del. C. §1321(e )(1)</x:t>
        </x:is>
      </x:c>
      <x:c r="E29" s="3" t="inlineStr">
        <x:is>
          <x:t xml:space="preserve">Assistant superintendents for a period of 12 months per year at the rate of 1 for each full 300 state units of pupils not to exceed a total of 2 per reorganized school district;</x:t>
        </x:is>
      </x:c>
      <x:c r="G29" s="3" t="inlineStr">
        <x:is>
          <x:t xml:space="preserve">September 30 each year</x:t>
        </x:is>
      </x:c>
      <x:c r="H29" s="11" t="inlineStr">
        <x:is>
          <x:t xml:space="preserve">Allocate one 12-month Director for the first full 200 Division I state units. Allocate one additional Director for each additional full 100 Division I state units. Do not exceed six Director positions per reorganized school district</x:t>
        </x:is>
      </x:c>
      <x:c r="K29" s="95" t="inlineStr">
        <x:is>
          <x:t xml:space="preserve">PROPOSED NEW RULE (provided 2026-07-22): 1 Position per 300 Division I Positions (max of 2).
Prior workbook formula retained pending approval: 1 position for each full 300 Division I state units (maximum 2 positions per district).
Existing authority/citation: 14 Del. C. §1321(e )(1).
See 'New Rule Updates' sheet. Status: pending legal/policy verification.
ELIGIBILITY CLARIFICATION (2026-07-22): Assistant Superintendent applies to districts only; charter schools are not eligible. Business rule confirmed; legal citation reconciliation remains pending.</x:t>
        </x:is>
      </x:c>
    </x:row>
    <x:row r="30" s="76" customFormat="1" ht="105" customHeight="1">
      <x:c r="A30" s="3" t="inlineStr">
        <x:is>
          <x:t xml:space="preserve">Specialist -- 10-month visiting teachers</x:t>
        </x:is>
      </x:c>
      <x:c r="B30" s="3" t="inlineStr">
        <x:is>
          <x:t xml:space="preserve">Position </x:t>
        </x:is>
      </x:c>
      <x:c r="C30" s="3" t="inlineStr">
        <x:is>
          <x:t xml:space="preserve">1 position per 250 Division I state units</x:t>
        </x:is>
      </x:c>
      <x:c r="D30" s="4" t="inlineStr">
        <x:is>
          <x:t xml:space="preserve">14 Del. C. §1321(e )(5)</x:t>
        </x:is>
      </x:c>
      <x:c r="E30" s="3" t="inlineStr">
        <x:is>
          <x:t xml:space="preserve">Specialist. — Visiting teachers for a period of 10 months per year at the rate of 1 for each full 250 state units of pupil. For districts that do not qualify for a visiting teacher, fractional units shall be provided to allow for such personnel;</x:t>
        </x:is>
      </x:c>
      <x:c r="G30" s="3" t="inlineStr">
        <x:is>
          <x:t xml:space="preserve">September 30 each year</x:t>
        </x:is>
      </x:c>
      <x:c r="H30" s="3" t="inlineStr">
        <x:is>
          <x:t xml:space="preserve">Allocate one 10-month Visiting Teacher for every full 250 Division I state units. Districts not generating one full position receive the appropriate fractional entitlement.</x:t>
        </x:is>
      </x:c>
    </x:row>
    <x:row r="31" s="36" customFormat="1" ht="90" customHeight="1">
      <x:c r="A31" s="36" t="inlineStr">
        <x:is>
          <x:t xml:space="preserve">Specialist -- 10-month driver education teachers</x:t>
        </x:is>
      </x:c>
      <x:c r="B31" s="36" t="inlineStr">
        <x:is>
          <x:t xml:space="preserve">Position </x:t>
        </x:is>
      </x:c>
      <x:c r="C31" s="11" t="inlineStr">
        <x:is>
          <x:t xml:space="preserve">1 position per 125 tenth-grade students (or 0.2 per 25 students)</x:t>
        </x:is>
      </x:c>
      <x:c r="D31" s="37" t="inlineStr">
        <x:is>
          <x:t xml:space="preserve">14 Del. C. §1321(e )(6)</x:t>
        </x:is>
      </x:c>
      <x:c r="E31" s="36" t="inlineStr">
        <x:is>
          <x:t xml:space="preserve">Driver education teachers for a period of 10 months per year at the rate of 1 for each full 125 10th grade student in the district or 1/5 of a teacher for each full 25 tenth grade students in the district;</x:t>
        </x:is>
      </x:c>
      <x:c r="G31" s="36" t="inlineStr">
        <x:is>
          <x:t xml:space="preserve">September 30 each year</x:t>
        </x:is>
      </x:c>
      <x:c r="H31" s="36" t="inlineStr">
        <x:is>
          <x:t xml:space="preserve">Allocate one 10-month Driver Education Teacher for every full 125 tenth-grade students. Allocate 0.2 FTE for every full 25 tenth-grade students.</x:t>
        </x:is>
      </x:c>
    </x:row>
    <x:row r="32" s="76" customFormat="1" ht="135" customHeight="1">
      <x:c r="A32" s="92" t="inlineStr">
        <x:is>
          <x:t xml:space="preserve">Division I Teacher - Preschool Basic Special Education Pre-K</x:t>
        </x:is>
      </x:c>
      <x:c r="B32" s="93" t="inlineStr">
        <x:is>
          <x:t xml:space="preserve">Unit</x:t>
        </x:is>
      </x:c>
      <x:c r="C32" s="93" t="inlineStr">
        <x:is>
          <x:t xml:space="preserve">1 position per 8.4 pupils</x:t>
        </x:is>
      </x:c>
      <x:c r="D32" s="38" t="inlineStr">
        <x:is>
          <x:t xml:space="preserve">14 Del. C. §1703(a)(1)</x:t>
        </x:is>
      </x:c>
      <x:c r="E32" s="93" t="inlineStr">
        <x:is>
          <x:t xml:space="preserve">Generate one Division I Pre-K position for every 8.4 eligible Pre-K pupils. Districts and charter schools are eligible under the new rule.</x:t>
        </x:is>
      </x:c>
      <x:c r="F32" s="93" t="n"/>
      <x:c r="G32" s="36" t="inlineStr">
        <x:is>
          <x:t xml:space="preserve">September 30 each year</x:t>
        </x:is>
      </x:c>
      <x:c r="H32" s="93" t="inlineStr">
        <x:is>
          <x:t xml:space="preserve">Count eligible Pre-K pupils and divide by 8.4. Keep regular Pre-K pupils separate from pupils counted in Basic, Intensive, or Complex Special Education to prevent double counting.</x:t>
        </x:is>
      </x:c>
      <x:c r="I32" s="93" t="inlineStr">
        <x:is>
          <x:t xml:space="preserve">TBD</x:t>
        </x:is>
      </x:c>
      <x:c r="J32" s="92" t="inlineStr">
        <x:is>
          <x:t xml:space="preserve">verified </x:t>
        </x:is>
      </x:c>
      <x:c r="K32" s="92" t="inlineStr">
        <x:is>
          <x:t xml:space="preserve">NEW RULE (provided 2026-07-22): Adds the previously missing Pre-K allocation and changes charter eligibility. Confirm the exact code subsection, effective date, business owner, and mutually exclusive student classification rules.</x:t>
        </x:is>
      </x:c>
    </x:row>
    <x:row r="33" s="76" customFormat="1" ht="111.94999694824219" customHeight="1">
      <x:c r="A33" s="94" t="inlineStr">
        <x:is>
          <x:t xml:space="preserve">Opportunity Funding - Low Income</x:t>
        </x:is>
      </x:c>
      <x:c r="B33" s="94" t="inlineStr">
        <x:is>
          <x:t xml:space="preserve">Weighted Enrollment</x:t>
        </x:is>
      </x:c>
      <x:c r="C33" s="94" t="inlineStr">
        <x:is>
          <x:t xml:space="preserve"># of LI Students Enrolled multiplied by the weight (0.675)</x:t>
        </x:is>
      </x:c>
      <x:c r="D33" s="94" t="inlineStr">
        <x:is>
          <x:t xml:space="preserve">PEFC Decision</x:t>
        </x:is>
      </x:c>
      <x:c r="E33" s="94" t="inlineStr">
        <x:is>
          <x:t xml:space="preserve">Business rule: # of LI Students Enrolled multiplied by the weight (0.675).</x:t>
        </x:is>
      </x:c>
      <x:c r="F33" s="94" t="inlineStr">
        <x:is>
          <x:t xml:space="preserve">PEFC Decision / enrollment source TBD</x:t>
        </x:is>
      </x:c>
      <x:c r="G33" s="94" t="inlineStr">
        <x:is>
          <x:t xml:space="preserve">FY2025-26</x:t>
        </x:is>
      </x:c>
      <x:c r="H33" s="94" t="inlineStr">
        <x:is>
          <x:t xml:space="preserve">Calculate weighted enrollment as the number of LI Students Enrolled multiplied by the weight (0.675). Apply the applicable FY2025-26 PEFC base funding amount to the resulting weighted enrollment.</x:t>
        </x:is>
      </x:c>
      <x:c r="I33" s="94" t="inlineStr">
        <x:is>
          <x:t xml:space="preserve">PEFC Decision (policy source)</x:t>
        </x:is>
      </x:c>
      <x:c r="J33" s="92" t="inlineStr">
        <x:is>
          <x:t xml:space="preserve">Pending</x:t>
        </x:is>
      </x:c>
      <x:c r="K33" s="94" t="inlineStr">
        <x:is>
          <x:t xml:space="preserve">FY2025-26 statewide enrollment: 36,749; exact weighted count: 24,805.575 (24,805.58 displayed). Opportunity pool: $163,000,000 plus 50% of Additional Funding.</x:t>
        </x:is>
      </x:c>
    </x:row>
    <x:row r="34" s="76" customFormat="1" ht="111.94999694824219" customHeight="1">
      <x:c r="A34" s="94" t="inlineStr">
        <x:is>
          <x:t xml:space="preserve">Opportunity Funding - Multilingual Learner</x:t>
        </x:is>
      </x:c>
      <x:c r="B34" s="94" t="inlineStr">
        <x:is>
          <x:t xml:space="preserve">Weighted Enrollment</x:t>
        </x:is>
      </x:c>
      <x:c r="C34" s="94" t="inlineStr">
        <x:is>
          <x:t xml:space="preserve"># of MLL Students Enrolled multiplied by the weight (0.470)</x:t>
        </x:is>
      </x:c>
      <x:c r="D34" s="94" t="inlineStr">
        <x:is>
          <x:t xml:space="preserve">PEFC Decision</x:t>
        </x:is>
      </x:c>
      <x:c r="E34" s="94" t="inlineStr">
        <x:is>
          <x:t xml:space="preserve">Business rule: # of MLL Students Enrolled multiplied by the weight (0.470).</x:t>
        </x:is>
      </x:c>
      <x:c r="F34" s="94" t="inlineStr">
        <x:is>
          <x:t xml:space="preserve">PEFC Decision / enrollment source TBD</x:t>
        </x:is>
      </x:c>
      <x:c r="G34" s="94" t="inlineStr">
        <x:is>
          <x:t xml:space="preserve">FY2025-26</x:t>
        </x:is>
      </x:c>
      <x:c r="H34" s="94" t="inlineStr">
        <x:is>
          <x:t xml:space="preserve">Calculate weighted enrollment as the number of MLL Students Enrolled multiplied by the weight (0.470). Apply the applicable FY2025-26 PEFC base funding amount to the resulting weighted enrollment.</x:t>
        </x:is>
      </x:c>
      <x:c r="I34" s="94" t="inlineStr">
        <x:is>
          <x:t xml:space="preserve">PEFC Decision (policy source)</x:t>
        </x:is>
      </x:c>
      <x:c r="J34" s="92" t="inlineStr">
        <x:is>
          <x:t xml:space="preserve">Pending</x:t>
        </x:is>
      </x:c>
      <x:c r="K34" s="94" t="inlineStr">
        <x:is>
          <x:t xml:space="preserve">FY2025-26 statewide enrollment: 17,242; exact weighted count: 8,103.74. Total Opportunity weighted count: 32,909.315; computed base rate: $4,953.004947 ($4,953.00 displayed).</x:t>
        </x:is>
      </x:c>
    </x:row>
    <x:row r="35" s="76" customFormat="1" ht="111.94999694824219" customHeight="1">
      <x:c r="A35" s="94" t="inlineStr">
        <x:is>
          <x:t xml:space="preserve">Operational Funding - Enrollment</x:t>
        </x:is>
      </x:c>
      <x:c r="B35" s="94" t="inlineStr">
        <x:is>
          <x:t xml:space="preserve">Weighted Enrollment</x:t>
        </x:is>
      </x:c>
      <x:c r="C35" s="94" t="inlineStr">
        <x:is>
          <x:t xml:space="preserve"># of Students Enrolled multiplied by the weight (0.200)</x:t>
        </x:is>
      </x:c>
      <x:c r="D35" s="94" t="inlineStr">
        <x:is>
          <x:t xml:space="preserve">PEFC Decision</x:t>
        </x:is>
      </x:c>
      <x:c r="E35" s="94" t="inlineStr">
        <x:is>
          <x:t xml:space="preserve">Business rule: # of Students Enrolled multiplied by the weight (0.200).</x:t>
        </x:is>
      </x:c>
      <x:c r="F35" s="94" t="inlineStr">
        <x:is>
          <x:t xml:space="preserve">PEFC Decision / enrollment source TBD</x:t>
        </x:is>
      </x:c>
      <x:c r="G35" s="94" t="inlineStr">
        <x:is>
          <x:t xml:space="preserve">FY2025-26</x:t>
        </x:is>
      </x:c>
      <x:c r="H35" s="94" t="inlineStr">
        <x:is>
          <x:t xml:space="preserve">Calculate weighted enrollment as the number of Students Enrolled multiplied by the weight (0.200). Apply the applicable FY2025-26 PEFC base funding amount to the resulting weighted enrollment.</x:t>
        </x:is>
      </x:c>
      <x:c r="I35" s="94" t="inlineStr">
        <x:is>
          <x:t xml:space="preserve">PEFC Decision (policy source)</x:t>
        </x:is>
      </x:c>
      <x:c r="J35" s="92" t="inlineStr">
        <x:is>
          <x:t xml:space="preserve">Pending</x:t>
        </x:is>
      </x:c>
      <x:c r="K35" s="94" t="inlineStr">
        <x:is>
          <x:t xml:space="preserve">CORRECTED: input population is total enrollment. FY2025-26 statewide enrollment: 141,314; weighted count: 28,262.80.</x:t>
        </x:is>
      </x:c>
    </x:row>
    <x:row r="36" s="76" customFormat="1" ht="111.94999694824219" customHeight="1">
      <x:c r="A36" s="94" t="inlineStr">
        <x:is>
          <x:t xml:space="preserve">Operational Funding - Low Income</x:t>
        </x:is>
      </x:c>
      <x:c r="B36" s="94" t="inlineStr">
        <x:is>
          <x:t xml:space="preserve">Weighted Enrollment</x:t>
        </x:is>
      </x:c>
      <x:c r="C36" s="94" t="inlineStr">
        <x:is>
          <x:t xml:space="preserve"># of LI Students Enrolled multiplied by the weight (0.675)</x:t>
        </x:is>
      </x:c>
      <x:c r="D36" s="94" t="inlineStr">
        <x:is>
          <x:t xml:space="preserve">PEFC Decision</x:t>
        </x:is>
      </x:c>
      <x:c r="E36" s="94" t="inlineStr">
        <x:is>
          <x:t xml:space="preserve">Business rule: # of LI Students Enrolled multiplied by the weight (0.675).</x:t>
        </x:is>
      </x:c>
      <x:c r="F36" s="94" t="inlineStr">
        <x:is>
          <x:t xml:space="preserve">PEFC Decision / enrollment source TBD</x:t>
        </x:is>
      </x:c>
      <x:c r="G36" s="94" t="inlineStr">
        <x:is>
          <x:t xml:space="preserve">FY2025-26</x:t>
        </x:is>
      </x:c>
      <x:c r="H36" s="94" t="inlineStr">
        <x:is>
          <x:t xml:space="preserve">Calculate weighted enrollment as the number of LI Students Enrolled multiplied by the weight (0.675). Apply the applicable FY2025-26 PEFC base funding amount to the resulting weighted enrollment.</x:t>
        </x:is>
      </x:c>
      <x:c r="I36" s="94" t="inlineStr">
        <x:is>
          <x:t xml:space="preserve">PEFC Decision (policy source)</x:t>
        </x:is>
      </x:c>
      <x:c r="J36" s="92" t="inlineStr">
        <x:is>
          <x:t xml:space="preserve">Pending</x:t>
        </x:is>
      </x:c>
      <x:c r="K36" s="94" t="inlineStr">
        <x:is>
          <x:t xml:space="preserve">FY2025-26 statewide enrollment: 36,749; exact weighted count: 24,805.575 (24,805.58 displayed).</x:t>
        </x:is>
      </x:c>
    </x:row>
    <x:row r="37" s="76" customFormat="1" ht="111.94999694824219" customHeight="1">
      <x:c r="A37" s="94" t="inlineStr">
        <x:is>
          <x:t xml:space="preserve">Operational Funding - Multilingual Learner</x:t>
        </x:is>
      </x:c>
      <x:c r="B37" s="94" t="inlineStr">
        <x:is>
          <x:t xml:space="preserve">Weighted Enrollment</x:t>
        </x:is>
      </x:c>
      <x:c r="C37" s="94" t="inlineStr">
        <x:is>
          <x:t xml:space="preserve"># of MLL Students Enrolled multiplied by the weight (0.470)</x:t>
        </x:is>
      </x:c>
      <x:c r="D37" s="94" t="inlineStr">
        <x:is>
          <x:t xml:space="preserve">PEFC Decision</x:t>
        </x:is>
      </x:c>
      <x:c r="E37" s="94" t="inlineStr">
        <x:is>
          <x:t xml:space="preserve">Business rule: # of MLL Students Enrolled multiplied by the weight (0.470).</x:t>
        </x:is>
      </x:c>
      <x:c r="F37" s="94" t="inlineStr">
        <x:is>
          <x:t xml:space="preserve">PEFC Decision / enrollment source TBD</x:t>
        </x:is>
      </x:c>
      <x:c r="G37" s="94" t="inlineStr">
        <x:is>
          <x:t xml:space="preserve">FY2025-26</x:t>
        </x:is>
      </x:c>
      <x:c r="H37" s="94" t="inlineStr">
        <x:is>
          <x:t xml:space="preserve">Calculate weighted enrollment as the number of MLL Students Enrolled multiplied by the weight (0.470). Apply the applicable FY2025-26 PEFC base funding amount to the resulting weighted enrollment.</x:t>
        </x:is>
      </x:c>
      <x:c r="I37" s="94" t="inlineStr">
        <x:is>
          <x:t xml:space="preserve">PEFC Decision (policy source)</x:t>
        </x:is>
      </x:c>
      <x:c r="J37" s="92" t="inlineStr">
        <x:is>
          <x:t xml:space="preserve">Pending</x:t>
        </x:is>
      </x:c>
      <x:c r="K37" s="94" t="inlineStr">
        <x:is>
          <x:t xml:space="preserve">FY2025-26 statewide enrollment: 17,242; weighted count: 8,103.74.</x:t>
        </x:is>
      </x:c>
    </x:row>
    <x:row r="38" s="76" customFormat="1" ht="111.94999694824219" customHeight="1">
      <x:c r="A38" s="94" t="inlineStr">
        <x:is>
          <x:t xml:space="preserve">Operational Funding - Basic Special Education</x:t>
        </x:is>
      </x:c>
      <x:c r="B38" s="94" t="inlineStr">
        <x:is>
          <x:t xml:space="preserve">Weighted Enrollment</x:t>
        </x:is>
      </x:c>
      <x:c r="C38" s="94" t="inlineStr">
        <x:is>
          <x:t xml:space="preserve"># of Basic Special Education Students Enrolled multiplied by the weight (0.480)</x:t>
        </x:is>
      </x:c>
      <x:c r="D38" s="94" t="inlineStr">
        <x:is>
          <x:t xml:space="preserve">PEFC Decision</x:t>
        </x:is>
      </x:c>
      <x:c r="E38" s="94" t="inlineStr">
        <x:is>
          <x:t xml:space="preserve">Business rule: # of Basic Special Education Students Enrolled multiplied by the weight (0.480).</x:t>
        </x:is>
      </x:c>
      <x:c r="F38" s="94" t="inlineStr">
        <x:is>
          <x:t xml:space="preserve">PEFC Decision / enrollment source TBD</x:t>
        </x:is>
      </x:c>
      <x:c r="G38" s="94" t="inlineStr">
        <x:is>
          <x:t xml:space="preserve">FY2025-26</x:t>
        </x:is>
      </x:c>
      <x:c r="H38" s="94" t="inlineStr">
        <x:is>
          <x:t xml:space="preserve">Calculate weighted enrollment as the number of Basic Special Education Students Enrolled multiplied by the weight (0.480). Apply the applicable FY2025-26 PEFC base funding amount to the resulting weighted enrollment.</x:t>
        </x:is>
      </x:c>
      <x:c r="I38" s="94" t="inlineStr">
        <x:is>
          <x:t xml:space="preserve">PEFC Decision (policy source)</x:t>
        </x:is>
      </x:c>
      <x:c r="J38" s="92" t="inlineStr">
        <x:is>
          <x:t xml:space="preserve">Pending</x:t>
        </x:is>
      </x:c>
      <x:c r="K38" s="94" t="inlineStr">
        <x:is>
          <x:t xml:space="preserve">FY2025-26 statewide enrollment: 13,944; weighted count: 6,693.12.</x:t>
        </x:is>
      </x:c>
    </x:row>
    <x:row r="39" s="76" customFormat="1" ht="111.94999694824219" customHeight="1">
      <x:c r="A39" s="94" t="inlineStr">
        <x:is>
          <x:t xml:space="preserve">Operational Funding - Intensive Special Education</x:t>
        </x:is>
      </x:c>
      <x:c r="B39" s="94" t="inlineStr">
        <x:is>
          <x:t xml:space="preserve">Weighted Enrollment</x:t>
        </x:is>
      </x:c>
      <x:c r="C39" s="94" t="inlineStr">
        <x:is>
          <x:t xml:space="preserve"># of Intensive Special Education Students Enrolled multiplied by the weight (0.670)</x:t>
        </x:is>
      </x:c>
      <x:c r="D39" s="94" t="inlineStr">
        <x:is>
          <x:t xml:space="preserve">PEFC Decision</x:t>
        </x:is>
      </x:c>
      <x:c r="E39" s="94" t="inlineStr">
        <x:is>
          <x:t xml:space="preserve">Business rule: # of Intensive Special Education Students Enrolled multiplied by the weight (0.670).</x:t>
        </x:is>
      </x:c>
      <x:c r="F39" s="94" t="inlineStr">
        <x:is>
          <x:t xml:space="preserve">PEFC Decision / enrollment source TBD</x:t>
        </x:is>
      </x:c>
      <x:c r="G39" s="94" t="inlineStr">
        <x:is>
          <x:t xml:space="preserve">FY2025-26</x:t>
        </x:is>
      </x:c>
      <x:c r="H39" s="94" t="inlineStr">
        <x:is>
          <x:t xml:space="preserve">Calculate weighted enrollment as the number of Intensive Special Education Students Enrolled multiplied by the weight (0.670). Apply the applicable FY2025-26 PEFC base funding amount to the resulting weighted enrollment.</x:t>
        </x:is>
      </x:c>
      <x:c r="I39" s="94" t="inlineStr">
        <x:is>
          <x:t xml:space="preserve">PEFC Decision (policy source)</x:t>
        </x:is>
      </x:c>
      <x:c r="J39" s="92" t="inlineStr">
        <x:is>
          <x:t xml:space="preserve">Pending</x:t>
        </x:is>
      </x:c>
      <x:c r="K39" s="94" t="inlineStr">
        <x:is>
          <x:t xml:space="preserve">FY2025-26 statewide enrollment: 6,933; weighted count: 4,645.11.</x:t>
        </x:is>
      </x:c>
    </x:row>
    <x:row r="40" s="76" customFormat="1" ht="111.94999694824219" customHeight="1">
      <x:c r="A40" s="94" t="inlineStr">
        <x:is>
          <x:t xml:space="preserve">Operational Funding - Complex Special Education</x:t>
        </x:is>
      </x:c>
      <x:c r="B40" s="94" t="inlineStr">
        <x:is>
          <x:t xml:space="preserve">Weighted Enrollment</x:t>
        </x:is>
      </x:c>
      <x:c r="C40" s="94" t="inlineStr">
        <x:is>
          <x:t xml:space="preserve"># of Complex Special Education Students Enrolled multiplied by the weight (1.540)</x:t>
        </x:is>
      </x:c>
      <x:c r="D40" s="94" t="inlineStr">
        <x:is>
          <x:t xml:space="preserve">PEFC Decision</x:t>
        </x:is>
      </x:c>
      <x:c r="E40" s="94" t="inlineStr">
        <x:is>
          <x:t xml:space="preserve">Business rule: # of Complex Special Education Students Enrolled multiplied by the weight (1.540).</x:t>
        </x:is>
      </x:c>
      <x:c r="F40" s="94" t="inlineStr">
        <x:is>
          <x:t xml:space="preserve">PEFC Decision / enrollment source TBD</x:t>
        </x:is>
      </x:c>
      <x:c r="G40" s="94" t="inlineStr">
        <x:is>
          <x:t xml:space="preserve">FY2025-26</x:t>
        </x:is>
      </x:c>
      <x:c r="H40" s="94" t="inlineStr">
        <x:is>
          <x:t xml:space="preserve">Calculate weighted enrollment as the number of Complex Special Education Students Enrolled multiplied by the weight (1.540). Apply the applicable FY2025-26 PEFC base funding amount to the resulting weighted enrollment.</x:t>
        </x:is>
      </x:c>
      <x:c r="I40" s="94" t="inlineStr">
        <x:is>
          <x:t xml:space="preserve">PEFC Decision (policy source)</x:t>
        </x:is>
      </x:c>
      <x:c r="J40" s="92" t="inlineStr">
        <x:is>
          <x:t xml:space="preserve">Pending</x:t>
        </x:is>
      </x:c>
      <x:c r="K40" s="94" t="inlineStr">
        <x:is>
          <x:t xml:space="preserve">FY2025-26 statewide enrollment: 6,381; weighted count: 9,826.74.</x:t>
        </x:is>
      </x:c>
    </x:row>
    <x:row r="41" s="76" customFormat="1" ht="177.75" customHeight="1">
      <x:c r="A41" s="94" t="inlineStr">
        <x:is>
          <x:t xml:space="preserve">Operational Funding - Vocational</x:t>
        </x:is>
      </x:c>
      <x:c r="B41" s="94" t="inlineStr">
        <x:is>
          <x:t xml:space="preserve">Weighted Enrollment</x:t>
        </x:is>
      </x:c>
      <x:c r="C41" s="94" t="inlineStr">
        <x:is>
          <x:t xml:space="preserve"># of Vocational Students Enrolled multiplied by the weight (0.200)</x:t>
        </x:is>
      </x:c>
      <x:c r="D41" s="94" t="inlineStr">
        <x:is>
          <x:t xml:space="preserve">PEFC Decision</x:t>
        </x:is>
      </x:c>
      <x:c r="E41" s="94" t="inlineStr">
        <x:is>
          <x:t xml:space="preserve">Business rule: # of Vocational Students Enrolled multiplied by the weight (0.200).</x:t>
        </x:is>
      </x:c>
      <x:c r="F41" s="94" t="inlineStr">
        <x:is>
          <x:t xml:space="preserve">PEFC Decision / enrollment source TBD</x:t>
        </x:is>
      </x:c>
      <x:c r="G41" s="94" t="inlineStr">
        <x:is>
          <x:t xml:space="preserve">FY2025-26</x:t>
        </x:is>
      </x:c>
      <x:c r="H41" s="94" t="inlineStr">
        <x:is>
          <x:t xml:space="preserve">Calculate weighted enrollment as the number of Vocational Students Enrolled multiplied by the weight (0.200). Apply the applicable FY2025-26 PEFC base funding amount to the resulting weighted enrollment.</x:t>
        </x:is>
      </x:c>
      <x:c r="I41" s="94" t="inlineStr">
        <x:is>
          <x:t xml:space="preserve">PEFC Decision (policy source)</x:t>
        </x:is>
      </x:c>
      <x:c r="J41" s="92" t="inlineStr">
        <x:is>
          <x:t xml:space="preserve">Pending</x:t>
        </x:is>
      </x:c>
      <x:c r="K41" s="94" t="inlineStr">
        <x:is>
          <x:t xml:space="preserve">FY2025-26 statewide enrollment: 18,249; weighted count: 3,649.80. Total Operational weighted count: 85,986.885; pool: $279,026,800 plus 50% of Additional Funding; computed base rate: $3,244.992536 ($3,244.99 displayed).</x:t>
        </x:is>
      </x:c>
    </x:row>
  </x:sheetData>
  <x:mergeCells>
    <x:mergeCell ref="A1:K1"/>
    <x:mergeCell ref="K5:K7"/>
  </x:mergeCell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baseColWidth="8" defaultRowHeight="15"/>
  <x:cols>
    <x:col min="1" max="1" width="26" style="76" customWidth="1"/>
    <x:col min="2" max="2" width="50" style="76" customWidth="1"/>
    <x:col min="3" max="3" width="42" style="76" customWidth="1"/>
    <x:col min="4" max="4" width="36" style="76" customWidth="1"/>
    <x:col min="5" max="5" width="24" style="76" customWidth="1"/>
    <x:col min="6" max="8" width="20" style="76" customWidth="1"/>
  </x:cols>
  <x:sheetData>
    <x:row r="1" s="76" customFormat="1" ht="30" customHeight="1">
      <x:c r="A1" s="85" t="inlineStr">
        <x:is>
          <x:t xml:space="preserve">Hybrid Funding Model — New Rule Updates</x:t>
        </x:is>
      </x:c>
    </x:row>
    <x:row r="2" s="76" customFormat="1" ht="48" customHeight="1">
      <x:c r="A2" s="86" t="inlineStr">
        <x:is>
          <x:t xml:space="preserve">Rules supplied July 22, 2026. Central-office, Division I, Opportunity Funding, and Operational Funding updates are documented below. Legal authority, effective date, and business-owner fields remain TBD where noted. Operational Funding—Enrollment has an open population-basis discrepancy: total students vs. regular education students.</x:t>
        </x:is>
      </x:c>
    </x:row>
    <x:row r="4" s="76" customFormat="1" ht="33.95000076293945" customHeight="1">
      <x:c r="A4" s="27" t="inlineStr">
        <x:is>
          <x:t xml:space="preserve">Funding Component</x:t>
        </x:is>
      </x:c>
      <x:c r="B4" s="28" t="inlineStr">
        <x:is>
          <x:t xml:space="preserve">Proposed New Rule</x:t>
        </x:is>
      </x:c>
      <x:c r="C4" s="28" t="inlineStr">
        <x:is>
          <x:t xml:space="preserve">Proposed Scope / Open Interpretation</x:t>
        </x:is>
      </x:c>
      <x:c r="D4" s="28" t="inlineStr">
        <x:is>
          <x:t xml:space="preserve">Current Workbook Reference</x:t>
        </x:is>
      </x:c>
      <x:c r="E4" s="28" t="inlineStr">
        <x:is>
          <x:t xml:space="preserve">Verification Status</x:t>
        </x:is>
      </x:c>
      <x:c r="F4" s="28" t="inlineStr">
        <x:is>
          <x:t xml:space="preserve">Authority / Citation</x:t>
        </x:is>
      </x:c>
      <x:c r="G4" s="28" t="inlineStr">
        <x:is>
          <x:t xml:space="preserve">Effective Date</x:t>
        </x:is>
      </x:c>
      <x:c r="H4" s="29" t="inlineStr">
        <x:is>
          <x:t xml:space="preserve">Business Owner</x:t>
        </x:is>
      </x:c>
      <x:c r="I4" t="inlineStr">
        <x:is>
          <x:t xml:space="preserve">Proposed Rule ID</x:t>
        </x:is>
      </x:c>
      <x:c r="J4" t="inlineStr">
        <x:is>
          <x:t xml:space="preserve">Formula (Executable)</x:t>
        </x:is>
      </x:c>
      <x:c r="K4" t="inlineStr">
        <x:is>
          <x:t xml:space="preserve">Boundary Test Cases</x:t>
        </x:is>
      </x:c>
    </x:row>
    <x:row r="5" s="76" customFormat="1" ht="60" customHeight="1">
      <x:c r="A5" s="30" t="inlineStr">
        <x:is>
          <x:t xml:space="preserve">Superintendent</x:t>
        </x:is>
      </x:c>
      <x:c r="B5" s="30" t="inlineStr">
        <x:is>
          <x:t xml:space="preserve">1 Position per District or Charter</x:t>
        </x:is>
      </x:c>
      <x:c r="C5" s="30" t="inlineStr">
        <x:is>
          <x:t xml:space="preserve">District or charter — both are eligible</x:t>
        </x:is>
      </x:c>
      <x:c r="D5" s="30" t="inlineStr">
        <x:is>
          <x:t xml:space="preserve">Formula Technical Reference!A27:K27</x:t>
        </x:is>
      </x:c>
      <x:c r="E5" s="33" t="inlineStr">
        <x:is>
          <x:t xml:space="preserve">Business rule confirmed; legal citation pending</x:t>
        </x:is>
      </x:c>
      <x:c r="F5" s="30" t="inlineStr">
        <x:is>
          <x:t xml:space="preserve">TBD</x:t>
        </x:is>
      </x:c>
      <x:c r="G5" s="30" t="inlineStr">
        <x:is>
          <x:t xml:space="preserve">TBD</x:t>
        </x:is>
      </x:c>
      <x:c r="H5" s="30" t="inlineStr">
        <x:is>
          <x:t xml:space="preserve">TBD</x:t>
        </x:is>
      </x:c>
    </x:row>
    <x:row r="6" s="76" customFormat="1" ht="60" customHeight="1">
      <x:c r="A6" s="31" t="inlineStr">
        <x:is>
          <x:t xml:space="preserve">Administrative Assistant</x:t>
        </x:is>
      </x:c>
      <x:c r="B6" s="31" t="inlineStr">
        <x:is>
          <x:t xml:space="preserve">1 Position per District or Charter</x:t>
        </x:is>
      </x:c>
      <x:c r="C6" s="31" t="inlineStr">
        <x:is>
          <x:t xml:space="preserve">District or charter — both are eligible</x:t>
        </x:is>
      </x:c>
      <x:c r="D6" s="31" t="inlineStr">
        <x:is>
          <x:t xml:space="preserve">No dedicated allocation row in current workbook</x:t>
        </x:is>
      </x:c>
      <x:c r="E6" s="34" t="inlineStr">
        <x:is>
          <x:t xml:space="preserve">Business rule confirmed; legal citation pending</x:t>
        </x:is>
      </x:c>
      <x:c r="F6" s="31" t="inlineStr">
        <x:is>
          <x:t xml:space="preserve">TBD</x:t>
        </x:is>
      </x:c>
      <x:c r="G6" s="31" t="inlineStr">
        <x:is>
          <x:t xml:space="preserve">TBD</x:t>
        </x:is>
      </x:c>
      <x:c r="H6" s="31" t="inlineStr">
        <x:is>
          <x:t xml:space="preserve">TBD</x:t>
        </x:is>
      </x:c>
    </x:row>
    <x:row r="7" s="76" customFormat="1" ht="60" customHeight="1">
      <x:c r="A7" s="31" t="inlineStr">
        <x:is>
          <x:t xml:space="preserve">Assistant Superintendent</x:t>
        </x:is>
      </x:c>
      <x:c r="B7" s="31" t="inlineStr">
        <x:is>
          <x:t xml:space="preserve">1 Position per 300 Division I Positions (max of 2)</x:t>
        </x:is>
      </x:c>
      <x:c r="C7" s="31" t="inlineStr">
        <x:is>
          <x:t xml:space="preserve">District only — charter schools are not eligible</x:t>
        </x:is>
      </x:c>
      <x:c r="D7" s="31" t="inlineStr">
        <x:is>
          <x:t xml:space="preserve">Formula Technical Reference!A29:K29</x:t>
        </x:is>
      </x:c>
      <x:c r="E7" s="34" t="inlineStr">
        <x:is>
          <x:t xml:space="preserve">Business rule confirmed; legal citation pending</x:t>
        </x:is>
      </x:c>
      <x:c r="F7" s="31" t="inlineStr">
        <x:is>
          <x:t xml:space="preserve">TBD</x:t>
        </x:is>
      </x:c>
      <x:c r="G7" s="31" t="inlineStr">
        <x:is>
          <x:t xml:space="preserve">TBD</x:t>
        </x:is>
      </x:c>
      <x:c r="H7" s="31" t="inlineStr">
        <x:is>
          <x:t xml:space="preserve">TBD</x:t>
        </x:is>
      </x:c>
      <x:c r="I7" t="inlineStr">
        <x:is>
          <x:t xml:space="preserve">BR2-PROP-013</x:t>
        </x:is>
      </x:c>
      <x:c r="J7" t="inlineStr">
        <x:is>
          <x:t xml:space="preserve">leaType==='district' ? (div1Total&lt;300 ? 0 : min(2, 1+floor((div1Total-300)/300))) : 0</x:t>
        </x:is>
      </x:c>
      <x:c r="K7" t="inlineStr">
        <x:is>
          <x:t xml:space="preserve">299 Division I units -&gt; 0; 300 -&gt; 1; 599 -&gt; 1; 600 -&gt; 2; 900 -&gt; 2 (capped); charter, any units -&gt; 0</x:t>
        </x:is>
      </x:c>
    </x:row>
    <x:row r="8" s="76" customFormat="1" ht="60" customHeight="1">
      <x:c r="A8" s="31" t="inlineStr">
        <x:is>
          <x:t xml:space="preserve">Director</x:t>
        </x:is>
      </x:c>
      <x:c r="B8" s="31" t="inlineStr">
        <x:is>
          <x:t xml:space="preserve">1 Position for the first 200 Division I Positions plus 1 for each additional 100 Division I Positions (max of 6)</x:t>
        </x:is>
      </x:c>
      <x:c r="C8" s="31" t="inlineStr">
        <x:is>
          <x:t xml:space="preserve">District or charter eligibility requires confirmation</x:t>
        </x:is>
      </x:c>
      <x:c r="D8" s="31" t="inlineStr">
        <x:is>
          <x:t xml:space="preserve">Formula Technical Reference!A18:K18</x:t>
        </x:is>
      </x:c>
      <x:c r="E8" s="34" t="inlineStr">
        <x:is>
          <x:t xml:space="preserve">Pending legal/policy verification</x:t>
        </x:is>
      </x:c>
      <x:c r="F8" s="31" t="inlineStr">
        <x:is>
          <x:t xml:space="preserve">TBD</x:t>
        </x:is>
      </x:c>
      <x:c r="G8" s="31" t="inlineStr">
        <x:is>
          <x:t xml:space="preserve">TBD</x:t>
        </x:is>
      </x:c>
      <x:c r="H8" s="31" t="inlineStr">
        <x:is>
          <x:t xml:space="preserve">TBD</x:t>
        </x:is>
      </x:c>
      <x:c r="I8" t="inlineStr">
        <x:is>
          <x:t xml:space="preserve">BR2-PROP-014</x:t>
        </x:is>
      </x:c>
      <x:c r="J8" t="inlineStr">
        <x:is>
          <x:t xml:space="preserve">div1Total&lt;200 ? 0 : min(6, 1+floor((div1Total-200)/100))</x:t>
        </x:is>
      </x:c>
      <x:c r="K8" t="inlineStr">
        <x:is>
          <x:t xml:space="preserve">199 Division I units -&gt; 0; 200 -&gt; 1; 299 -&gt; 1; 300 -&gt; 2; 700+ -&gt; 6 (capped)</x:t>
        </x:is>
      </x:c>
    </x:row>
    <x:row r="9" s="76" customFormat="1" ht="60" customHeight="1">
      <x:c r="A9" s="31" t="inlineStr">
        <x:is>
          <x:t xml:space="preserve">11-Month Supervisor</x:t>
        </x:is>
      </x:c>
      <x:c r="B9" s="31" t="inlineStr">
        <x:is>
          <x:t xml:space="preserve">1 Position per 150 Division I Positions</x:t>
        </x:is>
      </x:c>
      <x:c r="C9" s="31" t="inlineStr">
        <x:is>
          <x:t xml:space="preserve">District or charter eligibility and fractional treatment require confirmation</x:t>
        </x:is>
      </x:c>
      <x:c r="D9" s="31" t="inlineStr">
        <x:is>
          <x:t xml:space="preserve">Formula Technical Reference!A19:K19</x:t>
        </x:is>
      </x:c>
      <x:c r="E9" s="34" t="inlineStr">
        <x:is>
          <x:t xml:space="preserve">Pending legal/policy verification</x:t>
        </x:is>
      </x:c>
      <x:c r="F9" s="31" t="inlineStr">
        <x:is>
          <x:t xml:space="preserve">TBD</x:t>
        </x:is>
      </x:c>
      <x:c r="G9" s="31" t="inlineStr">
        <x:is>
          <x:t xml:space="preserve">TBD</x:t>
        </x:is>
      </x:c>
      <x:c r="H9" s="31" t="inlineStr">
        <x:is>
          <x:t xml:space="preserve">TBD</x:t>
        </x:is>
      </x:c>
      <x:c r="I9" t="inlineStr">
        <x:is>
          <x:t xml:space="preserve">BR2-PROP-015</x:t>
        </x:is>
      </x:c>
      <x:c r="J9" t="inlineStr">
        <x:is>
          <x:t xml:space="preserve">div1Total&lt;150 ? div1Total/150 : floor(div1Total/150)</x:t>
        </x:is>
      </x:c>
      <x:c r="K9" t="inlineStr">
        <x:is>
          <x:t xml:space="preserve">149 Division I units -&gt; 0.9933; 150 -&gt; 1; 225 -&gt; 1 (not 1.5); 300 -&gt; 2</x:t>
        </x:is>
      </x:c>
    </x:row>
    <x:row r="10" s="76" customFormat="1" ht="60" customHeight="1">
      <x:c r="A10" s="31" t="inlineStr">
        <x:is>
          <x:t xml:space="preserve">Buildings and Grounds Supervisor</x:t>
        </x:is>
      </x:c>
      <x:c r="B10" s="31" t="inlineStr">
        <x:is>
          <x:t xml:space="preserve">1 Position per District or Charter</x:t>
        </x:is>
      </x:c>
      <x:c r="C10" s="31" t="inlineStr">
        <x:is>
          <x:t xml:space="preserve">District or charter; proposed rule removes current 95-building-unit threshold</x:t>
        </x:is>
      </x:c>
      <x:c r="D10" s="31" t="inlineStr">
        <x:is>
          <x:t xml:space="preserve">Formula Technical Reference!A20:K20</x:t>
        </x:is>
      </x:c>
      <x:c r="E10" s="34" t="inlineStr">
        <x:is>
          <x:t xml:space="preserve">Pending legal/policy verification</x:t>
        </x:is>
      </x:c>
      <x:c r="F10" s="31" t="inlineStr">
        <x:is>
          <x:t xml:space="preserve">TBD</x:t>
        </x:is>
      </x:c>
      <x:c r="G10" s="31" t="inlineStr">
        <x:is>
          <x:t xml:space="preserve">TBD</x:t>
        </x:is>
      </x:c>
      <x:c r="H10" s="31" t="inlineStr">
        <x:is>
          <x:t xml:space="preserve">TBD</x:t>
        </x:is>
      </x:c>
    </x:row>
    <x:row r="11" s="76" customFormat="1" ht="60" customHeight="1">
      <x:c r="A11" s="31" t="inlineStr">
        <x:is>
          <x:t xml:space="preserve">Food Services Supervisor</x:t>
        </x:is>
      </x:c>
      <x:c r="B11" s="31" t="inlineStr">
        <x:is>
          <x:t xml:space="preserve">1 Position per District or Charter. Earned at a rate of 1 Position per 500 Division I Positions Beyond the First 500.</x:t>
        </x:is>
      </x:c>
      <x:c r="C11" s="31" t="inlineStr">
        <x:is>
          <x:t xml:space="preserve">District or charter; lunch-program and cafeteria-funded provisions require reconciliation</x:t>
        </x:is>
      </x:c>
      <x:c r="D11" s="31" t="inlineStr">
        <x:is>
          <x:t xml:space="preserve">Formula Technical Reference!A21:K21</x:t>
        </x:is>
      </x:c>
      <x:c r="E11" s="34" t="inlineStr">
        <x:is>
          <x:t xml:space="preserve">Pending legal/policy verification</x:t>
        </x:is>
      </x:c>
      <x:c r="F11" s="31" t="inlineStr">
        <x:is>
          <x:t xml:space="preserve">TBD</x:t>
        </x:is>
      </x:c>
      <x:c r="G11" s="31" t="inlineStr">
        <x:is>
          <x:t xml:space="preserve">TBD</x:t>
        </x:is>
      </x:c>
      <x:c r="H11" s="31" t="inlineStr">
        <x:is>
          <x:t xml:space="preserve">TBD</x:t>
        </x:is>
      </x:c>
    </x:row>
    <x:row r="12" s="76" customFormat="1" ht="60" customHeight="1">
      <x:c r="A12" s="31" t="inlineStr">
        <x:is>
          <x:t xml:space="preserve">Transportation Supervisor</x:t>
        </x:is>
      </x:c>
      <x:c r="B12" s="31" t="inlineStr">
        <x:is>
          <x:t xml:space="preserve">1 Position per 7,500 Students</x:t>
        </x:is>
      </x:c>
      <x:c r="C12" s="31" t="inlineStr">
        <x:is>
          <x:t xml:space="preserve">District or charter eligibility and fractional treatment require confirmation</x:t>
        </x:is>
      </x:c>
      <x:c r="D12" s="31" t="inlineStr">
        <x:is>
          <x:t xml:space="preserve">Formula Technical Reference!A22:K22</x:t>
        </x:is>
      </x:c>
      <x:c r="E12" s="34" t="inlineStr">
        <x:is>
          <x:t xml:space="preserve">Pending legal/policy verification</x:t>
        </x:is>
      </x:c>
      <x:c r="F12" s="31" t="inlineStr">
        <x:is>
          <x:t xml:space="preserve">TBD</x:t>
        </x:is>
      </x:c>
      <x:c r="G12" s="31" t="inlineStr">
        <x:is>
          <x:t xml:space="preserve">TBD</x:t>
        </x:is>
      </x:c>
      <x:c r="H12" s="31" t="inlineStr">
        <x:is>
          <x:t xml:space="preserve">TBD</x:t>
        </x:is>
      </x:c>
    </x:row>
    <x:row r="13" s="76" customFormat="1" ht="60" customHeight="1">
      <x:c r="A13" s="32" t="inlineStr">
        <x:is>
          <x:t xml:space="preserve">Reading Cadre</x:t>
        </x:is>
      </x:c>
      <x:c r="B13" s="32" t="inlineStr">
        <x:is>
          <x:t xml:space="preserve">1 Position per District or Charter</x:t>
        </x:is>
      </x:c>
      <x:c r="C13" s="32" t="inlineStr">
        <x:is>
          <x:t xml:space="preserve">District or charter — both are eligible</x:t>
        </x:is>
      </x:c>
      <x:c r="D13" s="32" t="inlineStr">
        <x:is>
          <x:t xml:space="preserve">Formula Technical Reference!A23:K23</x:t>
        </x:is>
      </x:c>
      <x:c r="E13" s="35" t="inlineStr">
        <x:is>
          <x:t xml:space="preserve">Business rule confirmed; legal citation pending</x:t>
        </x:is>
      </x:c>
      <x:c r="F13" s="32" t="inlineStr">
        <x:is>
          <x:t xml:space="preserve">TBD</x:t>
        </x:is>
      </x:c>
      <x:c r="G13" s="32" t="inlineStr">
        <x:is>
          <x:t xml:space="preserve">TBD</x:t>
        </x:is>
      </x:c>
      <x:c r="H13" s="32" t="inlineStr">
        <x:is>
          <x:t xml:space="preserve">TBD</x:t>
        </x:is>
      </x:c>
    </x:row>
    <x:row r="14" s="76" customFormat="1" ht="60" customHeight="1">
      <x:c r="A14" s="30" t="inlineStr">
        <x:is>
          <x:t xml:space="preserve">Opportunity Funding - Low Income</x:t>
        </x:is>
      </x:c>
      <x:c r="B14" s="30" t="inlineStr">
        <x:is>
          <x:t xml:space="preserve"># of LI Students Enrolled multiplied by the weight (0.675)</x:t>
        </x:is>
      </x:c>
      <x:c r="C14" s="30" t="inlineStr">
        <x:is>
          <x:t xml:space="preserve">School and LEA level; all districts and charter schools are eligible</x:t>
        </x:is>
      </x:c>
      <x:c r="D14" s="30" t="inlineStr">
        <x:is>
          <x:t xml:space="preserve">Formula Technical Reference!A33:K33; Rule Register!BR2-PEFC-001 (row 21)</x:t>
        </x:is>
      </x:c>
      <x:c r="E14" s="98" t="inlineStr">
        <x:is>
          <x:t xml:space="preserve">PEFC Decision</x:t>
        </x:is>
      </x:c>
      <x:c r="F14" s="30" t="inlineStr">
        <x:is>
          <x:t xml:space="preserve">PEFC Decision</x:t>
        </x:is>
      </x:c>
      <x:c r="G14" s="30" t="inlineStr">
        <x:is>
          <x:t xml:space="preserve">FY2025-26</x:t>
        </x:is>
      </x:c>
      <x:c r="H14" s="30" t="inlineStr">
        <x:is>
          <x:t xml:space="preserve">PEFC</x:t>
        </x:is>
      </x:c>
    </x:row>
    <x:row r="15" s="76" customFormat="1" ht="60" customHeight="1">
      <x:c r="A15" s="31" t="inlineStr">
        <x:is>
          <x:t xml:space="preserve">Opportunity Funding - Multilingual Learner</x:t>
        </x:is>
      </x:c>
      <x:c r="B15" s="31" t="inlineStr">
        <x:is>
          <x:t xml:space="preserve"># of MLL Students Enrolled multiplied by the weight (0.470)</x:t>
        </x:is>
      </x:c>
      <x:c r="C15" s="31" t="inlineStr">
        <x:is>
          <x:t xml:space="preserve">School and LEA level; all districts and charter schools are eligible</x:t>
        </x:is>
      </x:c>
      <x:c r="D15" s="31" t="inlineStr">
        <x:is>
          <x:t xml:space="preserve">Formula Technical Reference!A34:K34; Rule Register!BR2-PEFC-002 (row 22)</x:t>
        </x:is>
      </x:c>
      <x:c r="E15" s="99" t="inlineStr">
        <x:is>
          <x:t xml:space="preserve">PEFC Decision</x:t>
        </x:is>
      </x:c>
      <x:c r="F15" s="31" t="inlineStr">
        <x:is>
          <x:t xml:space="preserve">PEFC Decision</x:t>
        </x:is>
      </x:c>
      <x:c r="G15" s="31" t="inlineStr">
        <x:is>
          <x:t xml:space="preserve">FY2025-26</x:t>
        </x:is>
      </x:c>
      <x:c r="H15" s="31" t="inlineStr">
        <x:is>
          <x:t xml:space="preserve">PEFC</x:t>
        </x:is>
      </x:c>
    </x:row>
    <x:row r="16" s="76" customFormat="1" ht="60" customHeight="1">
      <x:c r="A16" s="31" t="inlineStr">
        <x:is>
          <x:t xml:space="preserve">Operational Funding - Enrollment</x:t>
        </x:is>
      </x:c>
      <x:c r="B16" s="31" t="inlineStr">
        <x:is>
          <x:t xml:space="preserve"># of Students Enrolled multiplied by the weight (0.200)</x:t>
        </x:is>
      </x:c>
      <x:c r="C16" s="31" t="inlineStr">
        <x:is>
          <x:t xml:space="preserve">School and LEA level; all districts and charter schools are eligible; use total student enrollment</x:t>
        </x:is>
      </x:c>
      <x:c r="D16" s="31" t="inlineStr">
        <x:is>
          <x:t xml:space="preserve">Formula Technical Reference!A35:K35; Rule Register!BR2-PEFC-003 (row 23)</x:t>
        </x:is>
      </x:c>
      <x:c r="E16" s="100" t="inlineStr">
        <x:is>
          <x:t xml:space="preserve">PEFC Decision</x:t>
        </x:is>
      </x:c>
      <x:c r="F16" s="31" t="inlineStr">
        <x:is>
          <x:t xml:space="preserve">PEFC Decision</x:t>
        </x:is>
      </x:c>
      <x:c r="G16" s="31" t="inlineStr">
        <x:is>
          <x:t xml:space="preserve">FY2025-26</x:t>
        </x:is>
      </x:c>
      <x:c r="H16" s="31" t="inlineStr">
        <x:is>
          <x:t xml:space="preserve">PEFC</x:t>
        </x:is>
      </x:c>
    </x:row>
    <x:row r="17" s="76" customFormat="1" ht="60" customHeight="1">
      <x:c r="A17" s="31" t="inlineStr">
        <x:is>
          <x:t xml:space="preserve">Operational Funding - Low Income</x:t>
        </x:is>
      </x:c>
      <x:c r="B17" s="31" t="inlineStr">
        <x:is>
          <x:t xml:space="preserve"># of LI Students Enrolled multiplied by the weight (0.675)</x:t>
        </x:is>
      </x:c>
      <x:c r="C17" s="31" t="inlineStr">
        <x:is>
          <x:t xml:space="preserve">School and LEA level; all districts and charter schools are eligible</x:t>
        </x:is>
      </x:c>
      <x:c r="D17" s="31" t="inlineStr">
        <x:is>
          <x:t xml:space="preserve">Formula Technical Reference!A36:K36; Rule Register!BR2-PEFC-003 (row 23)</x:t>
        </x:is>
      </x:c>
      <x:c r="E17" s="99" t="inlineStr">
        <x:is>
          <x:t xml:space="preserve">PEFC Decision</x:t>
        </x:is>
      </x:c>
      <x:c r="F17" s="31" t="inlineStr">
        <x:is>
          <x:t xml:space="preserve">PEFC Decision</x:t>
        </x:is>
      </x:c>
      <x:c r="G17" s="31" t="inlineStr">
        <x:is>
          <x:t xml:space="preserve">FY2025-26</x:t>
        </x:is>
      </x:c>
      <x:c r="H17" s="31" t="inlineStr">
        <x:is>
          <x:t xml:space="preserve">PEFC</x:t>
        </x:is>
      </x:c>
    </x:row>
    <x:row r="18" s="76" customFormat="1" ht="60" customHeight="1">
      <x:c r="A18" s="31" t="inlineStr">
        <x:is>
          <x:t xml:space="preserve">Operational Funding - Multilingual Learner</x:t>
        </x:is>
      </x:c>
      <x:c r="B18" s="31" t="inlineStr">
        <x:is>
          <x:t xml:space="preserve"># of MLL Students Enrolled multiplied by the weight (0.470)</x:t>
        </x:is>
      </x:c>
      <x:c r="C18" s="31" t="inlineStr">
        <x:is>
          <x:t xml:space="preserve">School and LEA level; all districts and charter schools are eligible</x:t>
        </x:is>
      </x:c>
      <x:c r="D18" s="31" t="inlineStr">
        <x:is>
          <x:t xml:space="preserve">Formula Technical Reference!A37:K37; Rule Register!BR2-PEFC-003 (row 23)</x:t>
        </x:is>
      </x:c>
      <x:c r="E18" s="99" t="inlineStr">
        <x:is>
          <x:t xml:space="preserve">PEFC Decision</x:t>
        </x:is>
      </x:c>
      <x:c r="F18" s="31" t="inlineStr">
        <x:is>
          <x:t xml:space="preserve">PEFC Decision</x:t>
        </x:is>
      </x:c>
      <x:c r="G18" s="31" t="inlineStr">
        <x:is>
          <x:t xml:space="preserve">FY2025-26</x:t>
        </x:is>
      </x:c>
      <x:c r="H18" s="31" t="inlineStr">
        <x:is>
          <x:t xml:space="preserve">PEFC</x:t>
        </x:is>
      </x:c>
    </x:row>
    <x:row r="19" s="76" customFormat="1" ht="60" customHeight="1">
      <x:c r="A19" s="31" t="inlineStr">
        <x:is>
          <x:t xml:space="preserve">Operational Funding - Basic Special Education</x:t>
        </x:is>
      </x:c>
      <x:c r="B19" s="31" t="inlineStr">
        <x:is>
          <x:t xml:space="preserve"># of Basic Special Education Students Enrolled multiplied by the weight (0.480)</x:t>
        </x:is>
      </x:c>
      <x:c r="C19" s="31" t="inlineStr">
        <x:is>
          <x:t xml:space="preserve">School and LEA level; all districts and charter schools are eligible; Basic Special Education students</x:t>
        </x:is>
      </x:c>
      <x:c r="D19" s="31" t="inlineStr">
        <x:is>
          <x:t xml:space="preserve">Formula Technical Reference!A38:K38; Rule Register!BR2-PEFC-003 (row 23)</x:t>
        </x:is>
      </x:c>
      <x:c r="E19" s="99" t="inlineStr">
        <x:is>
          <x:t xml:space="preserve">PEFC Decision</x:t>
        </x:is>
      </x:c>
      <x:c r="F19" s="31" t="inlineStr">
        <x:is>
          <x:t xml:space="preserve">PEFC Decision</x:t>
        </x:is>
      </x:c>
      <x:c r="G19" s="31" t="inlineStr">
        <x:is>
          <x:t xml:space="preserve">FY2025-26</x:t>
        </x:is>
      </x:c>
      <x:c r="H19" s="31" t="inlineStr">
        <x:is>
          <x:t xml:space="preserve">PEFC</x:t>
        </x:is>
      </x:c>
    </x:row>
    <x:row r="20" s="76" customFormat="1" ht="72" customHeight="1">
      <x:c r="A20" s="31" t="inlineStr">
        <x:is>
          <x:t xml:space="preserve">Operational Funding - Intensive Special Education</x:t>
        </x:is>
      </x:c>
      <x:c r="B20" s="31" t="inlineStr">
        <x:is>
          <x:t xml:space="preserve"># of Intensive Special Education Students Enrolled multiplied by the weight (0.670)</x:t>
        </x:is>
      </x:c>
      <x:c r="C20" s="31" t="inlineStr">
        <x:is>
          <x:t xml:space="preserve">School and LEA level; all districts and charter schools are eligible; Intensive Special Education students</x:t>
        </x:is>
      </x:c>
      <x:c r="D20" s="31" t="inlineStr">
        <x:is>
          <x:t xml:space="preserve">Formula Technical Reference!A39:K39; Rule Register!BR2-PEFC-003 (row 23)</x:t>
        </x:is>
      </x:c>
      <x:c r="E20" s="99" t="inlineStr">
        <x:is>
          <x:t xml:space="preserve">PEFC Decision</x:t>
        </x:is>
      </x:c>
      <x:c r="F20" s="31" t="inlineStr">
        <x:is>
          <x:t xml:space="preserve">PEFC Decision</x:t>
        </x:is>
      </x:c>
      <x:c r="G20" s="31" t="inlineStr">
        <x:is>
          <x:t xml:space="preserve">FY2025-26</x:t>
        </x:is>
      </x:c>
      <x:c r="H20" s="31" t="inlineStr">
        <x:is>
          <x:t xml:space="preserve">PEFC</x:t>
        </x:is>
      </x:c>
    </x:row>
    <x:row r="21" s="76" customFormat="1" ht="72" customHeight="1">
      <x:c r="A21" s="31" t="inlineStr">
        <x:is>
          <x:t xml:space="preserve">Operational Funding - Complex Special Education</x:t>
        </x:is>
      </x:c>
      <x:c r="B21" s="31" t="inlineStr">
        <x:is>
          <x:t xml:space="preserve"># of Complex Special Education Students Enrolled multiplied by the weight (1.540)</x:t>
        </x:is>
      </x:c>
      <x:c r="C21" s="31" t="inlineStr">
        <x:is>
          <x:t xml:space="preserve">School and LEA level; all districts and charter schools are eligible; Complex Special Education students</x:t>
        </x:is>
      </x:c>
      <x:c r="D21" s="31" t="inlineStr">
        <x:is>
          <x:t xml:space="preserve">Formula Technical Reference!A40:K40; Rule Register!BR2-PEFC-003 (row 23)</x:t>
        </x:is>
      </x:c>
      <x:c r="E21" s="99" t="inlineStr">
        <x:is>
          <x:t xml:space="preserve">PEFC Decision</x:t>
        </x:is>
      </x:c>
      <x:c r="F21" s="31" t="inlineStr">
        <x:is>
          <x:t xml:space="preserve">PEFC Decision</x:t>
        </x:is>
      </x:c>
      <x:c r="G21" s="31" t="inlineStr">
        <x:is>
          <x:t xml:space="preserve">FY2025-26</x:t>
        </x:is>
      </x:c>
      <x:c r="H21" s="31" t="inlineStr">
        <x:is>
          <x:t xml:space="preserve">PEFC</x:t>
        </x:is>
      </x:c>
    </x:row>
    <x:row r="22" s="76" customFormat="1" ht="72" customHeight="1">
      <x:c r="A22" s="32" t="inlineStr">
        <x:is>
          <x:t xml:space="preserve">Operational Funding - Vocational</x:t>
        </x:is>
      </x:c>
      <x:c r="B22" s="32" t="inlineStr">
        <x:is>
          <x:t xml:space="preserve"># of Vocational Students Enrolled multiplied by the weight (0.200)</x:t>
        </x:is>
      </x:c>
      <x:c r="C22" s="32" t="inlineStr">
        <x:is>
          <x:t xml:space="preserve">School and LEA level; all districts and charter schools are eligible; Vocational students</x:t>
        </x:is>
      </x:c>
      <x:c r="D22" s="32" t="inlineStr">
        <x:is>
          <x:t xml:space="preserve">Formula Technical Reference!A41:K41; Rule Register!BR2-PEFC-003 (row 23)</x:t>
        </x:is>
      </x:c>
      <x:c r="E22" s="100" t="inlineStr">
        <x:is>
          <x:t xml:space="preserve">PEFC Decision</x:t>
        </x:is>
      </x:c>
      <x:c r="F22" s="31" t="inlineStr">
        <x:is>
          <x:t xml:space="preserve">PEFC Decision</x:t>
        </x:is>
      </x:c>
      <x:c r="G22" s="32" t="inlineStr">
        <x:is>
          <x:t xml:space="preserve">FY2025-26</x:t>
        </x:is>
      </x:c>
      <x:c r="H22" s="32" t="inlineStr">
        <x:is>
          <x:t xml:space="preserve">PEFC</x:t>
        </x:is>
      </x:c>
    </x:row>
    <x:row r="23" s="76" customFormat="1" ht="72" customHeight="1"/>
    <x:row r="24" s="76" customFormat="1" ht="72" customHeight="1">
      <x:c r="A24" s="110" t="inlineStr">
        <x:is>
          <x:t xml:space="preserve">Provenance note added 2026-07-23 (per Zoey): these rules were authored by PEFC (the Public Education Funding Commission) itself, and PEFC has stated in a meeting that this is the direction they are heading. This is PEFC's own confirmed policy intent -- not an unverified third-party guess -- even though most rows below are still marked "Pending legal/policy verification" because they haven't been through formal statutory or appropriation enactment yet. Treat this sheet as PEFC's stated future direction, not yet current law. Row references to the Rule Register corrected 2026-07-24 (previously pointed at the pre-reconciliation 38-row numbering, e.g. Rule Register!A31:Y39, which no longer exists after the 2026-07-23 rewrite to 23 BR2- rows). CORRECTED 2026-07-24: the five Division I rows (K-3, 4-12, Basic, Intensive, Complex) had a real statute citation in the Authority/Citation column (14 Del. C. Sec 1703(a)(2)-(6), supplied by Zoey 2026-07-23) but Verification Status still said "legal citation pending" -- stale, left over from before the citation was added. Updated to "Verified" to match the Rule Register, which already reflected this correctly (BR2-001 through BR2-005).</x:t>
        </x:is>
      </x:c>
    </x:row>
    <x:row r="25" s="76" customFormat="1" ht="72" customHeight="1"/>
    <x:row r="26" s="76" customFormat="1" ht="72" customHeight="1"/>
    <x:row r="27" s="76" customFormat="1" ht="72" customHeight="1"/>
    <x:row r="28" s="76" customFormat="1" ht="72" customHeight="1"/>
    <x:row r="29">
      <x:c r="A29" t="inlineStr">
        <x:is>
          <x:t xml:space="preserve"> Added 2026-07-24: Proposed Rule ID / Formula (Executable) / Boundary Test Cases columns (I-K), populated for Assistant Superintendent (BR2-PROP-013), Director (BR2-PROP-014), and 11-Month Supervisor (BR2-PROP-015) -- the three proposed rules already implemented as executable, testable logic in the What-If Model. These IDs are deliberately separate from the Rule Register's BR2- namespace (which governs the Locked Model / current workbook reproduction) to avoid implying the proposed rule and the current rule are the same thing -- they are not, for these three components; see the open discrepancy noted on BR2-013/BR2-014 in the Rule Register. The remaining rows in this sheet (Superintendent, Administrative Assistant, Buildings &amp; Grounds, Food Services Supervisor, Transportation Supervisor, Reading Cadre, and all Opportunity/Operational weight rows) do not yet have separate proposed-rule IDs or executable formulas here, because PEFC's proposed rule for each of those already matches what the current workbook computes -- there is no second formula to track. If that changes, those rows should get the same treatment.</x:t>
        </x:is>
      </x:c>
    </x:row>
  </x:sheetData>
  <x:mergeCells>
    <x:mergeCell ref="A2:H2"/>
    <x:mergeCell ref="A1:H1"/>
  </x:mergeCells>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baseColWidth="8" defaultRowHeight="15"/>
  <x:cols>
    <x:col min="1" max="1" width="20" style="76" customWidth="1"/>
    <x:col min="2" max="2" width="26" style="76" customWidth="1"/>
    <x:col min="3" max="3" width="34" style="76" customWidth="1"/>
    <x:col min="4" max="4" width="23" style="76" customWidth="1"/>
    <x:col min="5" max="6" width="17" style="76" customWidth="1"/>
    <x:col min="7" max="7" width="27" style="76" customWidth="1"/>
    <x:col min="8" max="8" width="21" style="76" customWidth="1"/>
    <x:col min="9" max="9" width="30" style="76" customWidth="1"/>
    <x:col min="10" max="10" width="46" style="76" customWidth="1"/>
  </x:cols>
  <x:sheetData>
    <x:row r="1" s="76" customFormat="1" ht="30" customHeight="1">
      <x:c r="A1" s="87" t="inlineStr">
        <x:is>
          <x:t xml:space="preserve">Hybrid Funding Model — Enrollment Weight Register</x:t>
        </x:is>
      </x:c>
    </x:row>
    <x:row r="2" s="76" customFormat="1" ht="38.099998474121094" customHeight="1">
      <x:c r="A2" s="88" t="inlineStr">
        <x:is>
          <x:t xml:space="preserve">This register separates old-model students-per-position divisors from new-model direct enrollment weights. It stores no enrollment values and calculates no funding dollars.</x:t>
        </x:is>
      </x:c>
    </x:row>
    <x:row r="4" s="76" customFormat="1" ht="33.95000076293945" customHeight="1">
      <x:c r="A4" s="39" t="inlineStr">
        <x:is>
          <x:t xml:space="preserve">Model Layer</x:t>
        </x:is>
      </x:c>
      <x:c r="B4" s="39" t="inlineStr">
        <x:is>
          <x:t xml:space="preserve">Funding Component</x:t>
        </x:is>
      </x:c>
      <x:c r="C4" s="39" t="inlineStr">
        <x:is>
          <x:t xml:space="preserve">Enrollment Basis</x:t>
        </x:is>
      </x:c>
      <x:c r="D4" s="39" t="inlineStr">
        <x:is>
          <x:t xml:space="preserve">Parameter Type</x:t>
        </x:is>
      </x:c>
      <x:c r="E4" s="39" t="inlineStr">
        <x:is>
          <x:t xml:space="preserve">Rule Parameter</x:t>
        </x:is>
      </x:c>
      <x:c r="F4" s="39" t="inlineStr">
        <x:is>
          <x:t xml:space="preserve">Per-Student Multiplier</x:t>
        </x:is>
      </x:c>
      <x:c r="G4" s="39" t="inlineStr">
        <x:is>
          <x:t xml:space="preserve">Calculation Pattern</x:t>
        </x:is>
      </x:c>
      <x:c r="H4" s="39" t="inlineStr">
        <x:is>
          <x:t xml:space="preserve">Output</x:t>
        </x:is>
      </x:c>
      <x:c r="I4" s="39" t="inlineStr">
        <x:is>
          <x:t xml:space="preserve">Verification Status</x:t>
        </x:is>
      </x:c>
      <x:c r="J4" s="39" t="inlineStr">
        <x:is>
          <x:t xml:space="preserve">Source / Interpretation Note</x:t>
        </x:is>
      </x:c>
    </x:row>
    <x:row r="5" s="76" customFormat="1" ht="54" customHeight="1">
      <x:c r="A5" s="31" t="inlineStr">
        <x:is>
          <x:t xml:space="preserve">Old model — Division I</x:t>
        </x:is>
      </x:c>
      <x:c r="B5" s="31" t="inlineStr">
        <x:is>
          <x:t xml:space="preserve">K–3 Regular Education</x:t>
        </x:is>
      </x:c>
      <x:c r="C5" s="31" t="inlineStr">
        <x:is>
          <x:t xml:space="preserve">Eligible K–3 regular education enrollment</x:t>
        </x:is>
      </x:c>
      <x:c r="D5" s="31" t="inlineStr">
        <x:is>
          <x:t xml:space="preserve">Students per position divisor</x:t>
        </x:is>
      </x:c>
      <x:c r="E5" s="42" t="n">
        <x:v>16.2</x:v>
      </x:c>
      <x:c r="F5" s="42" t="n">
        <x:f>1/E6</x:f>
        <x:v>0.05</x:v>
      </x:c>
      <x:c r="G5" s="31" t="inlineStr">
        <x:is>
          <x:t xml:space="preserve">Enrollment × per-student multiplier</x:t>
        </x:is>
      </x:c>
      <x:c r="H5" s="31" t="inlineStr">
        <x:is>
          <x:t xml:space="preserve">Positions / FTE</x:t>
        </x:is>
      </x:c>
      <x:c r="I5" s="31" t="inlineStr">
        <x:is>
          <x:t xml:space="preserve">Verified</x:t>
        </x:is>
      </x:c>
      <x:c r="J5" s="31" t="inlineStr">
        <x:is>
          <x:t xml:space="preserve">14 Del. C. §1703(a)(2)</x:t>
        </x:is>
      </x:c>
    </x:row>
    <x:row r="6" s="76" customFormat="1" ht="54" customHeight="1">
      <x:c r="A6" s="31" t="inlineStr">
        <x:is>
          <x:t xml:space="preserve">Old model — Division I</x:t>
        </x:is>
      </x:c>
      <x:c r="B6" s="31" t="inlineStr">
        <x:is>
          <x:t xml:space="preserve">Grades 4–12 Regular Education</x:t>
        </x:is>
      </x:c>
      <x:c r="C6" s="31" t="inlineStr">
        <x:is>
          <x:t xml:space="preserve">Eligible grades 4–12 regular education enrollment</x:t>
        </x:is>
      </x:c>
      <x:c r="D6" s="31" t="inlineStr">
        <x:is>
          <x:t xml:space="preserve">Students per position divisor</x:t>
        </x:is>
      </x:c>
      <x:c r="E6" s="42" t="n">
        <x:v>20</x:v>
      </x:c>
      <x:c r="F6" s="42" t="n">
        <x:f>1/E7</x:f>
        <x:v>0.11904761904761904</x:v>
      </x:c>
      <x:c r="G6" s="31" t="inlineStr">
        <x:is>
          <x:t xml:space="preserve">Enrollment × per-student multiplier</x:t>
        </x:is>
      </x:c>
      <x:c r="H6" s="31" t="inlineStr">
        <x:is>
          <x:t xml:space="preserve">Positions / FTE</x:t>
        </x:is>
      </x:c>
      <x:c r="I6" s="31" t="inlineStr">
        <x:is>
          <x:t xml:space="preserve">Verified</x:t>
        </x:is>
      </x:c>
      <x:c r="J6" s="31" t="inlineStr">
        <x:is>
          <x:t xml:space="preserve">14 Del. C. §1703(a)(3)</x:t>
        </x:is>
      </x:c>
    </x:row>
    <x:row r="7" s="76" customFormat="1" ht="54" customHeight="1">
      <x:c r="A7" s="31" t="inlineStr">
        <x:is>
          <x:t xml:space="preserve">Old model — Division I</x:t>
        </x:is>
      </x:c>
      <x:c r="B7" s="31" t="inlineStr">
        <x:is>
          <x:t xml:space="preserve">Basic Special Education</x:t>
        </x:is>
      </x:c>
      <x:c r="C7" s="31" t="inlineStr">
        <x:is>
          <x:t xml:space="preserve">Basic Special Education enrollment, Pre-K–12</x:t>
        </x:is>
      </x:c>
      <x:c r="D7" s="31" t="inlineStr">
        <x:is>
          <x:t xml:space="preserve">Students per position divisor</x:t>
        </x:is>
      </x:c>
      <x:c r="E7" s="42" t="n">
        <x:v>8.4</x:v>
      </x:c>
      <x:c r="F7" s="42" t="n">
        <x:f>1/E8</x:f>
        <x:v>0.16666666666666666</x:v>
      </x:c>
      <x:c r="G7" s="31" t="inlineStr">
        <x:is>
          <x:t xml:space="preserve">Enrollment × per-student multiplier</x:t>
        </x:is>
      </x:c>
      <x:c r="H7" s="31" t="inlineStr">
        <x:is>
          <x:t xml:space="preserve">Positions / FTE</x:t>
        </x:is>
      </x:c>
      <x:c r="I7" s="31" t="inlineStr">
        <x:is>
          <x:t xml:space="preserve">Business rule confirmed; legal citation pending</x:t>
        </x:is>
      </x:c>
      <x:c r="J7" s="31" t="inlineStr">
        <x:is>
          <x:t xml:space="preserve">14 Del. C. §1703(a)(4); confirm Pre-K scope</x:t>
        </x:is>
      </x:c>
    </x:row>
    <x:row r="8" s="76" customFormat="1" ht="54" customHeight="1">
      <x:c r="A8" s="31" t="inlineStr">
        <x:is>
          <x:t xml:space="preserve">Old model — Division I</x:t>
        </x:is>
      </x:c>
      <x:c r="B8" s="31" t="inlineStr">
        <x:is>
          <x:t xml:space="preserve">Intensive Special Education</x:t>
        </x:is>
      </x:c>
      <x:c r="C8" s="31" t="inlineStr">
        <x:is>
          <x:t xml:space="preserve">Intensive Special Education enrollment, Pre-K–12</x:t>
        </x:is>
      </x:c>
      <x:c r="D8" s="31" t="inlineStr">
        <x:is>
          <x:t xml:space="preserve">Students per position divisor</x:t>
        </x:is>
      </x:c>
      <x:c r="E8" s="42" t="n">
        <x:v>6</x:v>
      </x:c>
      <x:c r="F8" s="42" t="n">
        <x:f>1/E9</x:f>
        <x:v>0.3846153846153846</x:v>
      </x:c>
      <x:c r="G8" s="31" t="inlineStr">
        <x:is>
          <x:t xml:space="preserve">Enrollment × per-student multiplier</x:t>
        </x:is>
      </x:c>
      <x:c r="H8" s="31" t="inlineStr">
        <x:is>
          <x:t xml:space="preserve">Positions / FTE</x:t>
        </x:is>
      </x:c>
      <x:c r="I8" s="31" t="inlineStr">
        <x:is>
          <x:t xml:space="preserve">Business rule confirmed; legal citation pending</x:t>
        </x:is>
      </x:c>
      <x:c r="J8" s="31" t="inlineStr">
        <x:is>
          <x:t xml:space="preserve">14 Del. C. §1703(a)(5)</x:t>
        </x:is>
      </x:c>
    </x:row>
    <x:row r="9" s="76" customFormat="1" ht="54" customHeight="1">
      <x:c r="A9" s="31" t="inlineStr">
        <x:is>
          <x:t xml:space="preserve">Old model — Division I</x:t>
        </x:is>
      </x:c>
      <x:c r="B9" s="31" t="inlineStr">
        <x:is>
          <x:t xml:space="preserve">Complex Special Education</x:t>
        </x:is>
      </x:c>
      <x:c r="C9" s="31" t="inlineStr">
        <x:is>
          <x:t xml:space="preserve">Complex Special Education enrollment, Pre-K–12</x:t>
        </x:is>
      </x:c>
      <x:c r="D9" s="31" t="inlineStr">
        <x:is>
          <x:t xml:space="preserve">Students per position divisor</x:t>
        </x:is>
      </x:c>
      <x:c r="E9" s="42" t="n">
        <x:v>2.6</x:v>
      </x:c>
      <x:c r="F9" s="42" t="n">
        <x:f>1/E10</x:f>
        <x:v>1.4814814814814814</x:v>
      </x:c>
      <x:c r="G9" s="31" t="inlineStr">
        <x:is>
          <x:t xml:space="preserve">Enrollment × per-student multiplier</x:t>
        </x:is>
      </x:c>
      <x:c r="H9" s="31" t="inlineStr">
        <x:is>
          <x:t xml:space="preserve">Positions / FTE</x:t>
        </x:is>
      </x:c>
      <x:c r="I9" s="31" t="inlineStr">
        <x:is>
          <x:t xml:space="preserve">Business rule confirmed; legal citation pending</x:t>
        </x:is>
      </x:c>
      <x:c r="J9" s="31" t="inlineStr">
        <x:is>
          <x:t xml:space="preserve">14 Del. C. §1703(a)(6)</x:t>
        </x:is>
      </x:c>
    </x:row>
    <x:row r="10" s="76" customFormat="1" ht="54" customHeight="1">
      <x:c r="A10" s="31" t="inlineStr">
        <x:is>
          <x:t xml:space="preserve">New model — Opportunity</x:t>
        </x:is>
      </x:c>
      <x:c r="B10" s="31" t="inlineStr">
        <x:is>
          <x:t xml:space="preserve">Low Income</x:t>
        </x:is>
      </x:c>
      <x:c r="C10" s="31" t="inlineStr">
        <x:is>
          <x:t xml:space="preserve">Low-income enrollment</x:t>
        </x:is>
      </x:c>
      <x:c r="D10" s="31" t="inlineStr">
        <x:is>
          <x:t xml:space="preserve">Direct weight</x:t>
        </x:is>
      </x:c>
      <x:c r="E10" s="42" t="n">
        <x:v>0.675</x:v>
      </x:c>
      <x:c r="F10" s="42" t="n">
        <x:f>E11</x:f>
        <x:v>0.47</x:v>
      </x:c>
      <x:c r="G10" s="31" t="inlineStr">
        <x:is>
          <x:t xml:space="preserve"># of LI Students Enrolled multiplied by the weight (0.675)</x:t>
        </x:is>
      </x:c>
      <x:c r="H10" s="31" t="inlineStr">
        <x:is>
          <x:t xml:space="preserve">Weighted enrollment units</x:t>
        </x:is>
      </x:c>
      <x:c r="I10" s="49" t="inlineStr">
        <x:is>
          <x:t xml:space="preserve">Business rule confirmed — PEFC Decision</x:t>
        </x:is>
      </x:c>
      <x:c r="J10" s="44" t="inlineStr">
        <x:is>
          <x:t xml:space="preserve">PEFC Decision</x:t>
        </x:is>
      </x:c>
    </x:row>
    <x:row r="11" s="76" customFormat="1" ht="54" customHeight="1">
      <x:c r="A11" s="31" t="inlineStr">
        <x:is>
          <x:t xml:space="preserve">New model — Opportunity</x:t>
        </x:is>
      </x:c>
      <x:c r="B11" s="31" t="inlineStr">
        <x:is>
          <x:t xml:space="preserve">Multilingual Learner (MLL)</x:t>
        </x:is>
      </x:c>
      <x:c r="C11" s="31" t="inlineStr">
        <x:is>
          <x:t xml:space="preserve">MLL enrollment</x:t>
        </x:is>
      </x:c>
      <x:c r="D11" s="31" t="inlineStr">
        <x:is>
          <x:t xml:space="preserve">Direct weight</x:t>
        </x:is>
      </x:c>
      <x:c r="E11" s="42" t="n">
        <x:v>0.47</x:v>
      </x:c>
      <x:c r="F11" s="42" t="n">
        <x:f>E12</x:f>
        <x:v>0.2</x:v>
      </x:c>
      <x:c r="G11" s="31" t="inlineStr">
        <x:is>
          <x:t xml:space="preserve"># of MLL Students Enrolled multiplied by the weight (0.470)</x:t>
        </x:is>
      </x:c>
      <x:c r="H11" s="31" t="inlineStr">
        <x:is>
          <x:t xml:space="preserve">Weighted enrollment units</x:t>
        </x:is>
      </x:c>
      <x:c r="I11" s="49" t="inlineStr">
        <x:is>
          <x:t xml:space="preserve">Business rule confirmed — PEFC Decision</x:t>
        </x:is>
      </x:c>
      <x:c r="J11" s="44" t="inlineStr">
        <x:is>
          <x:t xml:space="preserve">PEFC Decision</x:t>
        </x:is>
      </x:c>
    </x:row>
    <x:row r="12" s="76" customFormat="1" ht="54" customHeight="1">
      <x:c r="A12" s="50" t="inlineStr">
        <x:is>
          <x:t xml:space="preserve">New model — Operational</x:t>
        </x:is>
      </x:c>
      <x:c r="B12" s="50" t="inlineStr">
        <x:is>
          <x:t xml:space="preserve">Enrollment</x:t>
        </x:is>
      </x:c>
      <x:c r="C12" s="50" t="inlineStr">
        <x:is>
          <x:t xml:space="preserve">Total student enrollment</x:t>
        </x:is>
      </x:c>
      <x:c r="D12" s="50" t="inlineStr">
        <x:is>
          <x:t xml:space="preserve">Direct weight</x:t>
        </x:is>
      </x:c>
      <x:c r="E12" s="51" t="n">
        <x:v>0.2</x:v>
      </x:c>
      <x:c r="F12" s="51" t="n">
        <x:f>E13</x:f>
        <x:v>0.675</x:v>
      </x:c>
      <x:c r="G12" s="50" t="inlineStr">
        <x:is>
          <x:t xml:space="preserve"># of Students Enrolled multiplied by the weight (0.200)</x:t>
        </x:is>
      </x:c>
      <x:c r="H12" s="50" t="inlineStr">
        <x:is>
          <x:t xml:space="preserve">Weighted enrollment units</x:t>
        </x:is>
      </x:c>
      <x:c r="I12" s="48" t="inlineStr">
        <x:is>
          <x:t xml:space="preserve">Business rule confirmed — PEFC Decision</x:t>
        </x:is>
      </x:c>
      <x:c r="J12" s="50" t="inlineStr">
        <x:is>
          <x:t xml:space="preserve">PEFC Decision</x:t>
        </x:is>
      </x:c>
    </x:row>
    <x:row r="13" s="76" customFormat="1" ht="54" customHeight="1">
      <x:c r="A13" s="31" t="inlineStr">
        <x:is>
          <x:t xml:space="preserve">New model — Operational</x:t>
        </x:is>
      </x:c>
      <x:c r="B13" s="31" t="inlineStr">
        <x:is>
          <x:t xml:space="preserve">Low Income</x:t>
        </x:is>
      </x:c>
      <x:c r="C13" s="31" t="inlineStr">
        <x:is>
          <x:t xml:space="preserve">Low-income enrollment</x:t>
        </x:is>
      </x:c>
      <x:c r="D13" s="31" t="inlineStr">
        <x:is>
          <x:t xml:space="preserve">Direct weight</x:t>
        </x:is>
      </x:c>
      <x:c r="E13" s="42" t="n">
        <x:v>0.675</x:v>
      </x:c>
      <x:c r="F13" s="42" t="n">
        <x:f>E14</x:f>
        <x:v>0.47</x:v>
      </x:c>
      <x:c r="G13" s="31" t="inlineStr">
        <x:is>
          <x:t xml:space="preserve"># of LI Students Enrolled multiplied by the weight (0.675)</x:t>
        </x:is>
      </x:c>
      <x:c r="H13" s="31" t="inlineStr">
        <x:is>
          <x:t xml:space="preserve">Weighted enrollment units</x:t>
        </x:is>
      </x:c>
      <x:c r="I13" s="49" t="inlineStr">
        <x:is>
          <x:t xml:space="preserve">Business rule confirmed — PEFC Decision</x:t>
        </x:is>
      </x:c>
      <x:c r="J13" s="31" t="inlineStr">
        <x:is>
          <x:t xml:space="preserve">PEFC Decision</x:t>
        </x:is>
      </x:c>
    </x:row>
    <x:row r="14" s="76" customFormat="1" ht="54" customHeight="1">
      <x:c r="A14" s="31" t="inlineStr">
        <x:is>
          <x:t xml:space="preserve">New model — Operational</x:t>
        </x:is>
      </x:c>
      <x:c r="B14" s="31" t="inlineStr">
        <x:is>
          <x:t xml:space="preserve">Multilingual Learner (MLL)</x:t>
        </x:is>
      </x:c>
      <x:c r="C14" s="31" t="inlineStr">
        <x:is>
          <x:t xml:space="preserve">MLL enrollment</x:t>
        </x:is>
      </x:c>
      <x:c r="D14" s="31" t="inlineStr">
        <x:is>
          <x:t xml:space="preserve">Direct weight</x:t>
        </x:is>
      </x:c>
      <x:c r="E14" s="42" t="n">
        <x:v>0.47</x:v>
      </x:c>
      <x:c r="F14" s="42" t="n">
        <x:f>E15</x:f>
        <x:v>0.48</x:v>
      </x:c>
      <x:c r="G14" s="31" t="inlineStr">
        <x:is>
          <x:t xml:space="preserve"># of MLL Students Enrolled multiplied by the weight (0.470)</x:t>
        </x:is>
      </x:c>
      <x:c r="H14" s="31" t="inlineStr">
        <x:is>
          <x:t xml:space="preserve">Weighted enrollment units</x:t>
        </x:is>
      </x:c>
      <x:c r="I14" s="49" t="inlineStr">
        <x:is>
          <x:t xml:space="preserve">Business rule confirmed — PEFC Decision</x:t>
        </x:is>
      </x:c>
      <x:c r="J14" s="31" t="inlineStr">
        <x:is>
          <x:t xml:space="preserve">PEFC Decision</x:t>
        </x:is>
      </x:c>
    </x:row>
    <x:row r="15" s="76" customFormat="1" ht="54" customHeight="1">
      <x:c r="A15" s="31" t="inlineStr">
        <x:is>
          <x:t xml:space="preserve">New model — Operational</x:t>
        </x:is>
      </x:c>
      <x:c r="B15" s="31" t="inlineStr">
        <x:is>
          <x:t xml:space="preserve">Basic Special Education</x:t>
        </x:is>
      </x:c>
      <x:c r="C15" s="31" t="inlineStr">
        <x:is>
          <x:t xml:space="preserve">Basic Special Education enrollment, Pre-K–12</x:t>
        </x:is>
      </x:c>
      <x:c r="D15" s="31" t="inlineStr">
        <x:is>
          <x:t xml:space="preserve">Direct weight</x:t>
        </x:is>
      </x:c>
      <x:c r="E15" s="42" t="n">
        <x:v>0.48</x:v>
      </x:c>
      <x:c r="F15" s="42" t="n">
        <x:f>E16</x:f>
        <x:v>0.67</x:v>
      </x:c>
      <x:c r="G15" s="31" t="inlineStr">
        <x:is>
          <x:t xml:space="preserve"># of Basic Special Education Students Enrolled multiplied by the weight (0.480)</x:t>
        </x:is>
      </x:c>
      <x:c r="H15" s="31" t="inlineStr">
        <x:is>
          <x:t xml:space="preserve">Weighted enrollment units</x:t>
        </x:is>
      </x:c>
      <x:c r="I15" s="49" t="inlineStr">
        <x:is>
          <x:t xml:space="preserve">Business rule confirmed — PEFC Decision</x:t>
        </x:is>
      </x:c>
      <x:c r="J15" s="31" t="inlineStr">
        <x:is>
          <x:t xml:space="preserve">PEFC Decision</x:t>
        </x:is>
      </x:c>
    </x:row>
    <x:row r="16" s="76" customFormat="1" ht="54" customHeight="1">
      <x:c r="A16" s="31" t="inlineStr">
        <x:is>
          <x:t xml:space="preserve">New model — Operational</x:t>
        </x:is>
      </x:c>
      <x:c r="B16" s="31" t="inlineStr">
        <x:is>
          <x:t xml:space="preserve">Intensive Special Education</x:t>
        </x:is>
      </x:c>
      <x:c r="C16" s="31" t="inlineStr">
        <x:is>
          <x:t xml:space="preserve">Intensive Special Education enrollment, Pre-K–12</x:t>
        </x:is>
      </x:c>
      <x:c r="D16" s="31" t="inlineStr">
        <x:is>
          <x:t xml:space="preserve">Direct weight</x:t>
        </x:is>
      </x:c>
      <x:c r="E16" s="42" t="n">
        <x:v>0.67</x:v>
      </x:c>
      <x:c r="F16" s="42" t="n">
        <x:f>E17</x:f>
        <x:v>1.54</x:v>
      </x:c>
      <x:c r="G16" s="31" t="inlineStr">
        <x:is>
          <x:t xml:space="preserve"># of Intensive Special Education Students Enrolled multiplied by the weight (0.670)</x:t>
        </x:is>
      </x:c>
      <x:c r="H16" s="31" t="inlineStr">
        <x:is>
          <x:t xml:space="preserve">Weighted enrollment units</x:t>
        </x:is>
      </x:c>
      <x:c r="I16" s="49" t="inlineStr">
        <x:is>
          <x:t xml:space="preserve">Business rule confirmed — PEFC Decision</x:t>
        </x:is>
      </x:c>
      <x:c r="J16" s="31" t="inlineStr">
        <x:is>
          <x:t xml:space="preserve">PEFC Decision</x:t>
        </x:is>
      </x:c>
    </x:row>
    <x:row r="17" s="76" customFormat="1" ht="54" customHeight="1">
      <x:c r="A17" s="31" t="inlineStr">
        <x:is>
          <x:t xml:space="preserve">New model — Operational</x:t>
        </x:is>
      </x:c>
      <x:c r="B17" s="31" t="inlineStr">
        <x:is>
          <x:t xml:space="preserve">Complex Special Education</x:t>
        </x:is>
      </x:c>
      <x:c r="C17" s="31" t="inlineStr">
        <x:is>
          <x:t xml:space="preserve">Complex Special Education enrollment, Pre-K–12</x:t>
        </x:is>
      </x:c>
      <x:c r="D17" s="31" t="inlineStr">
        <x:is>
          <x:t xml:space="preserve">Direct weight</x:t>
        </x:is>
      </x:c>
      <x:c r="E17" s="42" t="n">
        <x:v>1.54</x:v>
      </x:c>
      <x:c r="F17" s="42" t="n">
        <x:f>E18</x:f>
        <x:v>0.2</x:v>
      </x:c>
      <x:c r="G17" s="31" t="inlineStr">
        <x:is>
          <x:t xml:space="preserve"># of Complex Special Education Students Enrolled multiplied by the weight (1.540)</x:t>
        </x:is>
      </x:c>
      <x:c r="H17" s="31" t="inlineStr">
        <x:is>
          <x:t xml:space="preserve">Weighted enrollment units</x:t>
        </x:is>
      </x:c>
      <x:c r="I17" s="49" t="inlineStr">
        <x:is>
          <x:t xml:space="preserve">Business rule confirmed — PEFC Decision</x:t>
        </x:is>
      </x:c>
      <x:c r="J17" s="31" t="inlineStr">
        <x:is>
          <x:t xml:space="preserve">PEFC Decision</x:t>
        </x:is>
      </x:c>
    </x:row>
    <x:row r="18" s="76" customFormat="1" ht="54" customHeight="1">
      <x:c r="A18" s="40" t="inlineStr">
        <x:is>
          <x:t xml:space="preserve">New model — Operational</x:t>
        </x:is>
      </x:c>
      <x:c r="B18" s="40" t="inlineStr">
        <x:is>
          <x:t xml:space="preserve">Vocational</x:t>
        </x:is>
      </x:c>
      <x:c r="C18" s="40" t="inlineStr">
        <x:is>
          <x:t xml:space="preserve">Applicable vocational enrollment</x:t>
        </x:is>
      </x:c>
      <x:c r="D18" s="40" t="inlineStr">
        <x:is>
          <x:t xml:space="preserve">Direct weight</x:t>
        </x:is>
      </x:c>
      <x:c r="E18" s="43" t="n">
        <x:v>0.2</x:v>
      </x:c>
      <x:c r="F18" s="43" t="n">
        <x:f>E19</x:f>
        <x:v>0</x:v>
      </x:c>
      <x:c r="G18" s="40" t="inlineStr">
        <x:is>
          <x:t xml:space="preserve"># of Vocational Students Enrolled multiplied by the weight (0.200)</x:t>
        </x:is>
      </x:c>
      <x:c r="H18" s="40" t="inlineStr">
        <x:is>
          <x:t xml:space="preserve">Weighted enrollment units</x:t>
        </x:is>
      </x:c>
      <x:c r="I18" s="52" t="inlineStr">
        <x:is>
          <x:t xml:space="preserve">Business rule confirmed — PEFC Decision</x:t>
        </x:is>
      </x:c>
      <x:c r="J18" s="40" t="inlineStr">
        <x:is>
          <x:t xml:space="preserve">PEFC Decision</x:t>
        </x:is>
      </x:c>
    </x:row>
    <x:row r="19" s="76" customFormat="1" ht="54" customHeight="1"/>
  </x:sheetData>
  <x:mergeCells>
    <x:mergeCell ref="A1:J1"/>
    <x:mergeCell ref="A2:J2"/>
  </x:mergeCells>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baseColWidth="8" defaultRowHeight="15"/>
  <x:cols>
    <x:col min="1" max="1" width="36" style="76" customWidth="1"/>
    <x:col min="2" max="2" width="16" style="76" customWidth="1"/>
    <x:col min="3" max="3" width="14" style="76" customWidth="1"/>
    <x:col min="4" max="4" width="20" style="76" customWidth="1"/>
    <x:col min="5" max="5" width="21" style="76" customWidth="1"/>
  </x:cols>
  <x:sheetData>
    <x:row r="1" s="76" customFormat="1" ht="30" customHeight="1">
      <x:c r="A1" s="89" t="inlineStr">
        <x:is>
          <x:t xml:space="preserve">PEFC Decision — FY2025–26 Statewide Weighted Funding</x:t>
        </x:is>
      </x:c>
    </x:row>
    <x:row r="2" s="76" customFormat="1" ht="38.099998474121094" customHeight="1">
      <x:c r="A2" s="90" t="inlineStr">
        <x:is>
          <x:t xml:space="preserve">Inputs supplied July 22, 2026. Weights reference the Weight Register; weighted counts, base rates, allocations, and reconciliations are formula-driven.</x:t>
        </x:is>
      </x:c>
    </x:row>
    <x:row r="4" s="76" customFormat="1" ht="27.950000762939453" customHeight="1">
      <x:c r="A4" s="53" t="inlineStr">
        <x:is>
          <x:t xml:space="preserve">Funding Pool Input</x:t>
        </x:is>
      </x:c>
      <x:c r="B4" s="53" t="inlineStr">
        <x:is>
          <x:t xml:space="preserve">Amount</x:t>
        </x:is>
      </x:c>
      <x:c r="C4" s="12" t="n"/>
      <x:c r="D4" s="12" t="n"/>
      <x:c r="E4" s="12" t="n"/>
    </x:row>
    <x:row r="5" s="76" customFormat="1" ht="27.950000762939453" customHeight="1">
      <x:c r="A5" s="54" t="inlineStr">
        <x:is>
          <x:t xml:space="preserve">Opportunity Funding</x:t>
        </x:is>
      </x:c>
      <x:c r="B5" s="55" t="n">
        <x:v>163000000</x:v>
      </x:c>
      <x:c r="C5" s="12" t="n"/>
      <x:c r="D5" s="12" t="n"/>
      <x:c r="E5" s="12" t="n"/>
    </x:row>
    <x:row r="6" s="76" customFormat="1" ht="27.950000762939453" customHeight="1">
      <x:c r="A6" s="56" t="inlineStr">
        <x:is>
          <x:t xml:space="preserve">Operational Funding</x:t>
        </x:is>
      </x:c>
      <x:c r="B6" s="57" t="n">
        <x:v>279026800</x:v>
      </x:c>
      <x:c r="C6" s="12" t="n"/>
      <x:c r="D6" s="12" t="n"/>
      <x:c r="E6" s="12" t="n"/>
    </x:row>
    <x:row r="7" s="76" customFormat="1" ht="27.950000762939453" customHeight="1">
      <x:c r="A7" s="56" t="inlineStr">
        <x:is>
          <x:t xml:space="preserve">Additional Funding</x:t>
        </x:is>
      </x:c>
      <x:c r="B7" s="57" t="n">
        <x:v>0</x:v>
      </x:c>
      <x:c r="C7" s="12" t="n"/>
      <x:c r="D7" s="12" t="n"/>
      <x:c r="E7" s="12" t="n"/>
    </x:row>
    <x:row r="8" s="76" customFormat="1" ht="27.950000762939453" customHeight="1">
      <x:c r="A8" s="56" t="inlineStr">
        <x:is>
          <x:t xml:space="preserve">Opportunity share of Additional Funding</x:t>
        </x:is>
      </x:c>
      <x:c r="B8" s="58" t="n">
        <x:f>B7/2</x:f>
        <x:v>0</x:v>
      </x:c>
      <x:c r="C8" s="12" t="n"/>
      <x:c r="D8" s="12" t="n"/>
      <x:c r="E8" s="12" t="n"/>
    </x:row>
    <x:row r="9" s="76" customFormat="1" ht="27.950000762939453" customHeight="1">
      <x:c r="A9" s="56" t="inlineStr">
        <x:is>
          <x:t xml:space="preserve">Operational share of Additional Funding</x:t>
        </x:is>
      </x:c>
      <x:c r="B9" s="58" t="n">
        <x:f>B7/2</x:f>
        <x:v>0</x:v>
      </x:c>
      <x:c r="C9" s="12" t="n"/>
      <x:c r="D9" s="12" t="n"/>
      <x:c r="E9" s="12" t="n"/>
    </x:row>
    <x:row r="10" s="76" customFormat="1" ht="27.950000762939453" customHeight="1">
      <x:c r="A10" s="56" t="inlineStr">
        <x:is>
          <x:t xml:space="preserve">Adjusted Opportunity Funding Pool</x:t>
        </x:is>
      </x:c>
      <x:c r="B10" s="58" t="n">
        <x:f>B5+B8</x:f>
        <x:v>163000000</x:v>
      </x:c>
      <x:c r="C10" s="12" t="n"/>
      <x:c r="D10" s="12" t="n"/>
      <x:c r="E10" s="12" t="n"/>
    </x:row>
    <x:row r="11" s="76" customFormat="1" ht="27.950000762939453" customHeight="1">
      <x:c r="A11" s="59" t="inlineStr">
        <x:is>
          <x:t xml:space="preserve">Adjusted Operational Funding Pool</x:t>
        </x:is>
      </x:c>
      <x:c r="B11" s="60" t="n">
        <x:f>B6+B9</x:f>
        <x:v>279026800</x:v>
      </x:c>
      <x:c r="C11" s="12" t="n"/>
      <x:c r="D11" s="12" t="n"/>
      <x:c r="E11" s="12" t="n"/>
    </x:row>
    <x:row r="12" s="76" customFormat="1" ht="27.950000762939453" customHeight="1">
      <x:c r="A12" s="12" t="n"/>
      <x:c r="B12" s="12" t="n"/>
      <x:c r="C12" s="12" t="n"/>
      <x:c r="D12" s="12" t="n"/>
      <x:c r="E12" s="12" t="n"/>
    </x:row>
    <x:row r="13" s="76" customFormat="1" ht="32.099998474121094" customHeight="1">
      <x:c r="A13" s="91" t="inlineStr">
        <x:is>
          <x:t xml:space="preserve">Opportunity Funding</x:t>
        </x:is>
      </x:c>
    </x:row>
    <x:row r="14" s="76" customFormat="1" ht="32.099998474121094" customHeight="1">
      <x:c r="A14" s="53" t="inlineStr">
        <x:is>
          <x:t xml:space="preserve">Population</x:t>
        </x:is>
      </x:c>
      <x:c r="B14" s="53" t="inlineStr">
        <x:is>
          <x:t xml:space="preserve">Enrollment</x:t>
        </x:is>
      </x:c>
      <x:c r="C14" s="53" t="inlineStr">
        <x:is>
          <x:t xml:space="preserve">Weight</x:t>
        </x:is>
      </x:c>
      <x:c r="D14" s="53" t="inlineStr">
        <x:is>
          <x:t xml:space="preserve">Weighted Enrollment</x:t>
        </x:is>
      </x:c>
      <x:c r="E14" s="53" t="inlineStr">
        <x:is>
          <x:t xml:space="preserve">Allocated Funding</x:t>
        </x:is>
      </x:c>
    </x:row>
    <x:row r="15" s="76" customFormat="1" ht="27.950000762939453" customHeight="1">
      <x:c r="A15" s="54" t="inlineStr">
        <x:is>
          <x:t xml:space="preserve">Low Income</x:t>
        </x:is>
      </x:c>
      <x:c r="B15" s="61" t="n">
        <x:v>36749</x:v>
      </x:c>
      <x:c r="C15" s="62" t="n">
        <x:f>'Weight Register'!F11</x:f>
        <x:v>0.2</x:v>
      </x:c>
      <x:c r="D15" s="63" t="n">
        <x:f>B15*C15</x:f>
        <x:v>7349.8</x:v>
      </x:c>
      <x:c r="E15" s="64" t="n">
        <x:f>D15*$D$18</x:f>
        <x:v>63092897.41233348</x:v>
      </x:c>
    </x:row>
    <x:row r="16" s="76" customFormat="1" ht="27.950000762939453" customHeight="1">
      <x:c r="A16" s="56" t="inlineStr">
        <x:is>
          <x:t xml:space="preserve">Multilingual Learner (MLL)</x:t>
        </x:is>
      </x:c>
      <x:c r="B16" s="65" t="n">
        <x:v>17242</x:v>
      </x:c>
      <x:c r="C16" s="66" t="n">
        <x:f>'Weight Register'!F12</x:f>
        <x:v>0.675</x:v>
      </x:c>
      <x:c r="D16" s="67" t="n">
        <x:f>B16*C16</x:f>
        <x:v>11638.35</x:v>
      </x:c>
      <x:c r="E16" s="58" t="n">
        <x:f>D16*$D$18</x:f>
        <x:v>99907102.58766651</x:v>
      </x:c>
    </x:row>
    <x:row r="17" s="76" customFormat="1" ht="27.950000762939453" customHeight="1">
      <x:c r="A17" s="68" t="inlineStr">
        <x:is>
          <x:t xml:space="preserve">Total Weighted Count</x:t>
        </x:is>
      </x:c>
      <x:c r="B17" s="68" t="n"/>
      <x:c r="C17" s="68" t="n"/>
      <x:c r="D17" s="69" t="n">
        <x:f>SUM(D15:D16)</x:f>
        <x:v>18988.15</x:v>
      </x:c>
      <x:c r="E17" s="70" t="n">
        <x:f>SUM(E15:E16)</x:f>
        <x:v>163000000</x:v>
      </x:c>
    </x:row>
    <x:row r="18" s="76" customFormat="1" ht="27.950000762939453" customHeight="1">
      <x:c r="A18" s="71" t="inlineStr">
        <x:is>
          <x:t xml:space="preserve">Base Funding Amount</x:t>
        </x:is>
      </x:c>
      <x:c r="B18" s="71" t="n"/>
      <x:c r="C18" s="71" t="n"/>
      <x:c r="D18" s="72" t="n">
        <x:f>B10/D17</x:f>
        <x:v>8584.301261576298</x:v>
      </x:c>
      <x:c r="E18" s="72" t="n"/>
    </x:row>
    <x:row r="19" s="76" customFormat="1" ht="27.950000762939453" customHeight="1">
      <x:c r="A19" s="73" t="inlineStr">
        <x:is>
          <x:t xml:space="preserve">Reconciliation Variance</x:t>
        </x:is>
      </x:c>
      <x:c r="B19" s="73" t="n"/>
      <x:c r="C19" s="73" t="n"/>
      <x:c r="D19" s="73" t="n"/>
      <x:c r="E19" s="74" t="n">
        <x:f>ROUND(E17-B10,2)</x:f>
        <x:v>0</x:v>
      </x:c>
    </x:row>
    <x:row r="20" s="76" customFormat="1" ht="27.950000762939453" customHeight="1">
      <x:c r="A20" s="12" t="n"/>
      <x:c r="B20" s="12" t="n"/>
      <x:c r="C20" s="12" t="n"/>
      <x:c r="D20" s="12" t="n"/>
      <x:c r="E20" s="12" t="n"/>
    </x:row>
    <x:row r="21" s="76" customFormat="1" ht="32.099998474121094" customHeight="1">
      <x:c r="A21" s="91" t="inlineStr">
        <x:is>
          <x:t xml:space="preserve">Operational Funding</x:t>
        </x:is>
      </x:c>
    </x:row>
    <x:row r="22" s="76" customFormat="1" ht="32.099998474121094" customHeight="1">
      <x:c r="A22" s="53" t="inlineStr">
        <x:is>
          <x:t xml:space="preserve">Population</x:t>
        </x:is>
      </x:c>
      <x:c r="B22" s="53" t="inlineStr">
        <x:is>
          <x:t xml:space="preserve">Enrollment</x:t>
        </x:is>
      </x:c>
      <x:c r="C22" s="53" t="inlineStr">
        <x:is>
          <x:t xml:space="preserve">Weight</x:t>
        </x:is>
      </x:c>
      <x:c r="D22" s="53" t="inlineStr">
        <x:is>
          <x:t xml:space="preserve">Weighted Enrollment</x:t>
        </x:is>
      </x:c>
      <x:c r="E22" s="53" t="inlineStr">
        <x:is>
          <x:t xml:space="preserve">Allocated Funding</x:t>
        </x:is>
      </x:c>
    </x:row>
    <x:row r="23" s="76" customFormat="1" ht="27.950000762939453" customHeight="1">
      <x:c r="A23" s="54" t="inlineStr">
        <x:is>
          <x:t xml:space="preserve">Total Enrollment</x:t>
        </x:is>
      </x:c>
      <x:c r="B23" s="61" t="n">
        <x:v>141314</x:v>
      </x:c>
      <x:c r="C23" s="62" t="n">
        <x:f>'Weight Register'!F13</x:f>
        <x:v>0.47</x:v>
      </x:c>
      <x:c r="D23" s="63" t="n">
        <x:f>B23*C23</x:f>
        <x:v>66417.58</x:v>
      </x:c>
      <x:c r="E23" s="64" t="n">
        <x:f>D23*$D$31</x:f>
        <x:v>156430719.87365535</x:v>
      </x:c>
    </x:row>
    <x:row r="24" s="76" customFormat="1" ht="27.950000762939453" customHeight="1">
      <x:c r="A24" s="56" t="inlineStr">
        <x:is>
          <x:t xml:space="preserve">Low Income</x:t>
        </x:is>
      </x:c>
      <x:c r="B24" s="65" t="n">
        <x:v>36749</x:v>
      </x:c>
      <x:c r="C24" s="66" t="n">
        <x:f>'Weight Register'!F14</x:f>
        <x:v>0.48</x:v>
      </x:c>
      <x:c r="D24" s="67" t="n">
        <x:f>B24*C24</x:f>
        <x:v>17639.52</x:v>
      </x:c>
      <x:c r="E24" s="58" t="n">
        <x:f>D24*$D$31</x:f>
        <x:v>41545669.26144767</x:v>
      </x:c>
    </x:row>
    <x:row r="25" s="76" customFormat="1" ht="27.950000762939453" customHeight="1">
      <x:c r="A25" s="56" t="inlineStr">
        <x:is>
          <x:t xml:space="preserve">Multilingual Learner (MLL)</x:t>
        </x:is>
      </x:c>
      <x:c r="B25" s="65" t="n">
        <x:v>17242</x:v>
      </x:c>
      <x:c r="C25" s="66" t="n">
        <x:f>'Weight Register'!F15</x:f>
        <x:v>0.67</x:v>
      </x:c>
      <x:c r="D25" s="67" t="n">
        <x:f>B25*C25</x:f>
        <x:v>11552.140000000001</x:v>
      </x:c>
      <x:c r="E25" s="58" t="n">
        <x:f>D25*$D$31</x:f>
        <x:v>27208302.023067527</x:v>
      </x:c>
    </x:row>
    <x:row r="26" s="76" customFormat="1" ht="27.950000762939453" customHeight="1">
      <x:c r="A26" s="56" t="inlineStr">
        <x:is>
          <x:t xml:space="preserve">Basic Special Education — Pre-K–12</x:t>
        </x:is>
      </x:c>
      <x:c r="B26" s="65" t="n">
        <x:v>13944</x:v>
      </x:c>
      <x:c r="C26" s="66" t="n">
        <x:f>'Weight Register'!F16</x:f>
        <x:v>1.54</x:v>
      </x:c>
      <x:c r="D26" s="67" t="n">
        <x:f>B26*C26</x:f>
        <x:v>21473.760000000002</x:v>
      </x:c>
      <x:c r="E26" s="58" t="n">
        <x:f>D26*$D$31</x:f>
        <x:v>50576304.27356892</x:v>
      </x:c>
    </x:row>
    <x:row r="27" s="76" customFormat="1" ht="27.950000762939453" customHeight="1">
      <x:c r="A27" s="56" t="inlineStr">
        <x:is>
          <x:t xml:space="preserve">Intensive Special Education — Pre-K–12</x:t>
        </x:is>
      </x:c>
      <x:c r="B27" s="65" t="n">
        <x:v>6933</x:v>
      </x:c>
      <x:c r="C27" s="66" t="n">
        <x:f>'Weight Register'!F17</x:f>
        <x:v>0.2</x:v>
      </x:c>
      <x:c r="D27" s="67" t="n">
        <x:f>B27*C27</x:f>
        <x:v>1386.6000000000001</x:v>
      </x:c>
      <x:c r="E27" s="58" t="n">
        <x:f>D27*$D$31</x:f>
        <x:v>3265804.56826055</x:v>
      </x:c>
    </x:row>
    <x:row r="28" s="76" customFormat="1" ht="27.950000762939453" customHeight="1">
      <x:c r="A28" s="56" t="inlineStr">
        <x:is>
          <x:t xml:space="preserve">Complex Special Education — Pre-K–12</x:t>
        </x:is>
      </x:c>
      <x:c r="B28" s="65" t="n">
        <x:v>6381</x:v>
      </x:c>
      <x:c r="C28" s="66" t="n">
        <x:f>'Weight Register'!F18</x:f>
        <x:v>0</x:v>
      </x:c>
      <x:c r="D28" s="67" t="n">
        <x:f>B28*C28</x:f>
        <x:v>0</x:v>
      </x:c>
      <x:c r="E28" s="58" t="n">
        <x:f>D28*$D$31</x:f>
        <x:v>0</x:v>
      </x:c>
    </x:row>
    <x:row r="29" s="76" customFormat="1" ht="27.950000762939453" customHeight="1">
      <x:c r="A29" s="56" t="inlineStr">
        <x:is>
          <x:t xml:space="preserve">Vocational</x:t>
        </x:is>
      </x:c>
      <x:c r="B29" s="65" t="n">
        <x:v>18249</x:v>
      </x:c>
      <x:c r="C29" s="66" t="n">
        <x:f>'Weight Register'!F19</x:f>
        <x:v>0</x:v>
      </x:c>
      <x:c r="D29" s="67" t="n">
        <x:f>B29*C29</x:f>
        <x:v>0</x:v>
      </x:c>
      <x:c r="E29" s="58" t="n">
        <x:f>D29*$D$31</x:f>
        <x:v>0</x:v>
      </x:c>
    </x:row>
    <x:row r="30" s="76" customFormat="1" ht="27.950000762939453" customHeight="1">
      <x:c r="A30" s="68" t="inlineStr">
        <x:is>
          <x:t xml:space="preserve">Total Weighted Count</x:t>
        </x:is>
      </x:c>
      <x:c r="B30" s="68" t="n"/>
      <x:c r="C30" s="68" t="n"/>
      <x:c r="D30" s="69" t="n">
        <x:f>SUM(D23:D29)</x:f>
        <x:v>118469.6</x:v>
      </x:c>
      <x:c r="E30" s="70" t="n">
        <x:f>SUM(E23:E29)</x:f>
        <x:v>279026800</x:v>
      </x:c>
    </x:row>
    <x:row r="31" s="76" customFormat="1" ht="27.950000762939453" customHeight="1">
      <x:c r="A31" s="71" t="inlineStr">
        <x:is>
          <x:t xml:space="preserve">Base Funding Amount</x:t>
        </x:is>
      </x:c>
      <x:c r="B31" s="71" t="n"/>
      <x:c r="C31" s="71" t="n"/>
      <x:c r="D31" s="72" t="n">
        <x:f>B11/D30</x:f>
        <x:v>2355.260758878227</x:v>
      </x:c>
      <x:c r="E31" s="72" t="n"/>
    </x:row>
    <x:row r="32" s="76" customFormat="1" ht="27.950000762939453" customHeight="1">
      <x:c r="A32" s="73" t="inlineStr">
        <x:is>
          <x:t xml:space="preserve">Reconciliation Variance</x:t>
        </x:is>
      </x:c>
      <x:c r="B32" s="73" t="n"/>
      <x:c r="C32" s="73" t="n"/>
      <x:c r="D32" s="73" t="n"/>
      <x:c r="E32" s="74" t="n">
        <x:f>ROUND(E30-B11,2)</x:f>
        <x:v>0</x:v>
      </x:c>
    </x:row>
  </x:sheetData>
  <x:mergeCells>
    <x:mergeCell ref="A2:E2"/>
    <x:mergeCell ref="A1:E1"/>
    <x:mergeCell ref="A13:E13"/>
    <x:mergeCell ref="A21:E21"/>
  </x:mergeCells>
  <x:pageMargins left="0.7" right="0.7" top="0.75" bottom="0.75" header="0.3" footer="0.3"/>
</x:worksheet>
</file>

<file path=xl/worksheets/sheet8.xml><?xml version="1.0" encoding="utf-8"?>
<x:worksheet xmlns:x="http://schemas.openxmlformats.org/spreadsheetml/2006/main">
  <x:sheetFormatPr baseColWidth="8" defaultRowHeight="15"/>
  <x:cols>
    <x:col min="1" max="1" width="16" style="76" customWidth="1"/>
    <x:col min="2" max="2" width="42" style="76" customWidth="1"/>
    <x:col min="3" max="3" width="22" style="76" customWidth="1"/>
    <x:col min="4" max="4" width="90" style="76" customWidth="1"/>
  </x:cols>
  <x:sheetData>
    <x:row r="1" s="76" customFormat="1" ht="60" customHeight="1">
      <x:c r="A1" s="107" t="inlineStr">
        <x:is>
          <x:t xml:space="preserve">On 2026-07-23 the Rule Register sheet's original 38 rows (Rule IDs BR-001 through BR-028 and BR-PEFC-001 through BR-PEFC-009) were overwritten in place with a reconciled 23-row set using new BR2- prefixed IDs, without first archiving the originals -- a violation of this workbook's own Legend, which says Rule IDs should never be renumbered or reused. This sheet is a best-effort partial reconstruction of what was lost, captured from a still-available extraction made just before the ID rename. Formula text below is truncated to what was captured (80 characters) -- it is NOT the complete original formula language. Treat this as an audit-trail record of what existed and roughly what status it carried, not as usable formula reference.</x:t>
        </x:is>
      </x:c>
    </x:row>
    <x:row r="3">
      <x:c r="A3" s="108" t="inlineStr">
        <x:is>
          <x:t xml:space="preserve">Original Rule ID</x:t>
        </x:is>
      </x:c>
      <x:c r="B3" s="108" t="inlineStr">
        <x:is>
          <x:t xml:space="preserve">Funding Component</x:t>
        </x:is>
      </x:c>
      <x:c r="C3" s="108" t="inlineStr">
        <x:is>
          <x:t xml:space="preserve">Original Status</x:t>
        </x:is>
      </x:c>
      <x:c r="D3" s="108" t="inlineStr">
        <x:is>
          <x:t xml:space="preserve">Formula (Plain Language) — truncated to 80 chars as captured</x:t>
        </x:is>
      </x:c>
    </x:row>
    <x:row r="4">
      <x:c r="A4" t="inlineStr">
        <x:is>
          <x:t xml:space="preserve">BR-001</x:t>
        </x:is>
      </x:c>
      <x:c r="B4" t="inlineStr">
        <x:is>
          <x:t xml:space="preserve">K–3 Regular Education</x:t>
        </x:is>
      </x:c>
      <x:c r="C4" t="inlineStr">
        <x:is>
          <x:t xml:space="preserve">Verified</x:t>
        </x:is>
      </x:c>
      <x:c r="D4" t="inlineStr">
        <x:is>
          <x:t xml:space="preserve">1 unit per 16.2 students</x:t>
        </x:is>
      </x:c>
    </x:row>
    <x:row r="5">
      <x:c r="A5" t="inlineStr">
        <x:is>
          <x:t xml:space="preserve">BR-002</x:t>
        </x:is>
      </x:c>
      <x:c r="B5" t="inlineStr">
        <x:is>
          <x:t xml:space="preserve">Grades 4–12 Regular Education</x:t>
        </x:is>
      </x:c>
      <x:c r="C5" t="inlineStr">
        <x:is>
          <x:t xml:space="preserve">Verified</x:t>
        </x:is>
      </x:c>
      <x:c r="D5" t="inlineStr">
        <x:is>
          <x:t xml:space="preserve">1 unit per 20 students</x:t>
        </x:is>
      </x:c>
    </x:row>
    <x:row r="6">
      <x:c r="A6" t="inlineStr">
        <x:is>
          <x:t xml:space="preserve">BR-003</x:t>
        </x:is>
      </x:c>
      <x:c r="B6" t="inlineStr">
        <x:is>
          <x:t xml:space="preserve">Basic Special Education</x:t>
        </x:is>
      </x:c>
      <x:c r="C6" t="inlineStr">
        <x:is>
          <x:t xml:space="preserve">Verified</x:t>
        </x:is>
      </x:c>
      <x:c r="D6" t="inlineStr">
        <x:is>
          <x:t xml:space="preserve">1 unit per 8.4 students</x:t>
        </x:is>
      </x:c>
    </x:row>
    <x:row r="7">
      <x:c r="A7" t="inlineStr">
        <x:is>
          <x:t xml:space="preserve">BR-004</x:t>
        </x:is>
      </x:c>
      <x:c r="B7" t="inlineStr">
        <x:is>
          <x:t xml:space="preserve">Intensive Special Education</x:t>
        </x:is>
      </x:c>
      <x:c r="C7" t="inlineStr">
        <x:is>
          <x:t xml:space="preserve">Verified</x:t>
        </x:is>
      </x:c>
      <x:c r="D7" t="inlineStr">
        <x:is>
          <x:t xml:space="preserve">1 unit per 6 students</x:t>
        </x:is>
      </x:c>
    </x:row>
    <x:row r="8">
      <x:c r="A8" t="inlineStr">
        <x:is>
          <x:t xml:space="preserve">BR-005</x:t>
        </x:is>
      </x:c>
      <x:c r="B8" t="inlineStr">
        <x:is>
          <x:t xml:space="preserve">Complex Special Education</x:t>
        </x:is>
      </x:c>
      <x:c r="C8" t="inlineStr">
        <x:is>
          <x:t xml:space="preserve">Verified</x:t>
        </x:is>
      </x:c>
      <x:c r="D8" t="inlineStr">
        <x:is>
          <x:t xml:space="preserve">1 unit per 2.6 students</x:t>
        </x:is>
      </x:c>
    </x:row>
    <x:row r="9">
      <x:c r="A9" t="inlineStr">
        <x:is>
          <x:t xml:space="preserve">BR-006</x:t>
        </x:is>
      </x:c>
      <x:c r="B9" t="inlineStr">
        <x:is>
          <x:t xml:space="preserve">Career &amp; Technical Education — Unit Divisor</x:t>
        </x:is>
      </x:c>
      <x:c r="C9" t="inlineStr">
        <x:is>
          <x:t xml:space="preserve">Verified</x:t>
        </x:is>
      </x:c>
      <x:c r="D9" t="inlineStr">
        <x:is>
          <x:t xml:space="preserve">1 unit per 27,000 pupil-minutes/wk (or 1 per 30 students for county Vo-Tech district)</x:t>
        </x:is>
      </x:c>
    </x:row>
    <x:row r="10">
      <x:c r="A10" t="inlineStr">
        <x:is>
          <x:t xml:space="preserve">BR-007</x:t>
        </x:is>
      </x:c>
      <x:c r="B10" t="inlineStr">
        <x:is>
          <x:t xml:space="preserve">Career &amp; Technical Education — Double-Count Allowance</x:t>
        </x:is>
      </x:c>
      <x:c r="C10" t="inlineStr">
        <x:is>
          <x:t xml:space="preserve">Verified</x:t>
        </x:is>
      </x:c>
      <x:c r="D10" t="inlineStr">
        <x:is>
          <x:t xml:space="preserve">Students already counted in a regular unit still count toward CTE units</x:t>
        </x:is>
      </x:c>
    </x:row>
    <x:row r="11">
      <x:c r="A11" t="inlineStr">
        <x:is>
          <x:t xml:space="preserve">BR-008</x:t>
        </x:is>
      </x:c>
      <x:c r="B11" t="inlineStr">
        <x:is>
          <x:t xml:space="preserve">Career &amp; Technical Education — Regular Unit Deduction</x:t>
        </x:is>
      </x:c>
      <x:c r="C11" t="inlineStr">
        <x:is>
          <x:t xml:space="preserve">Verified</x:t>
        </x:is>
      </x:c>
      <x:c r="D11" t="inlineStr">
        <x:is>
          <x:t xml:space="preserve">Deduct 0.5 regular unit per CTE unit at comprehensive high schools</x:t>
        </x:is>
      </x:c>
    </x:row>
    <x:row r="12">
      <x:c r="A12" t="inlineStr">
        <x:is>
          <x:t xml:space="preserve">BR-009</x:t>
        </x:is>
      </x:c>
      <x:c r="B12" t="inlineStr">
        <x:is>
          <x:t xml:space="preserve">Principal</x:t>
        </x:is>
      </x:c>
      <x:c r="C12" t="inlineStr">
        <x:is>
          <x:t xml:space="preserve">Verified</x:t>
        </x:is>
      </x:c>
      <x:c r="D12" t="inlineStr">
        <x:is>
          <x:t xml:space="preserve">1 principal per administrative unit with &gt;=15 Division I units</x:t>
        </x:is>
      </x:c>
    </x:row>
    <x:row r="13">
      <x:c r="A13" t="inlineStr">
        <x:is>
          <x:t xml:space="preserve">BR-010</x:t>
        </x:is>
      </x:c>
      <x:c r="B13" t="inlineStr">
        <x:is>
          <x:t xml:space="preserve">Principal Salary</x:t>
        </x:is>
      </x:c>
      <x:c r="C13" t="inlineStr">
        <x:is>
          <x:t xml:space="preserve">Verified</x:t>
        </x:is>
      </x:c>
      <x:c r="D13" t="inlineStr">
        <x:is>
          <x:t xml:space="preserve">Base salary (§1305/§1316) + admin. responsibility supplement (greater of statuto[ry amount...]</x:t>
        </x:is>
      </x:c>
    </x:row>
    <x:row r="14">
      <x:c r="A14" t="inlineStr">
        <x:is>
          <x:t xml:space="preserve">BR-011</x:t>
        </x:is>
      </x:c>
      <x:c r="B14" t="inlineStr">
        <x:is>
          <x:t xml:space="preserve">Assistant Principal</x:t>
        </x:is>
      </x:c>
      <x:c r="C14" t="inlineStr">
        <x:is>
          <x:t xml:space="preserve">Verified</x:t>
        </x:is>
      </x:c>
      <x:c r="D14" t="inlineStr">
        <x:is>
          <x:t xml:space="preserve">1 AP at 30 units (0.65 at 25-&lt;30); 2nd AP at 55 units (0.65 at 50-&lt;55); +1 per a[dditional...]</x:t>
        </x:is>
      </x:c>
    </x:row>
    <x:row r="15">
      <x:c r="A15" t="inlineStr">
        <x:is>
          <x:t xml:space="preserve">BR-012</x:t>
        </x:is>
      </x:c>
      <x:c r="B15" t="inlineStr">
        <x:is>
          <x:t xml:space="preserve">Assistant Principal Salary</x:t>
        </x:is>
      </x:c>
      <x:c r="C15" t="inlineStr">
        <x:is>
          <x:t xml:space="preserve">Verified</x:t>
        </x:is>
      </x:c>
      <x:c r="D15" t="inlineStr">
        <x:is>
          <x:t xml:space="preserve">Base (§1305) + admin. responsibility supplement, paid 12 months</x:t>
        </x:is>
      </x:c>
    </x:row>
    <x:row r="16">
      <x:c r="A16" t="inlineStr">
        <x:is>
          <x:t xml:space="preserve">BR-013</x:t>
        </x:is>
      </x:c>
      <x:c r="B16" t="inlineStr">
        <x:is>
          <x:t xml:space="preserve">Administrative / Financial / Senior Secretaries &amp; Clerks</x:t>
        </x:is>
      </x:c>
      <x:c r="C16" t="inlineStr">
        <x:is>
          <x:t xml:space="preserve">Verified</x:t>
        </x:is>
      </x:c>
      <x:c r="D16" t="inlineStr">
        <x:is>
          <x:t xml:space="preserve">Salary schedule per §1308(a) for Admin Assistant I/II/III, 12-month</x:t>
        </x:is>
      </x:c>
    </x:row>
    <x:row r="17">
      <x:c r="A17" t="inlineStr">
        <x:is>
          <x:t xml:space="preserve">BR-014</x:t>
        </x:is>
      </x:c>
      <x:c r="B17" t="inlineStr">
        <x:is>
          <x:t xml:space="preserve">School Nurse</x:t>
        </x:is>
      </x:c>
      <x:c r="C17" t="inlineStr">
        <x:is>
          <x:t xml:space="preserve">Verified</x:t>
        </x:is>
      </x:c>
      <x:c r="D17" t="inlineStr">
        <x:is>
          <x:t xml:space="preserve">1 per 40 Division I state units; min. 1 per facility; 30% partial funding on fra[ctional...]</x:t>
        </x:is>
      </x:c>
    </x:row>
    <x:row r="18">
      <x:c r="A18" t="inlineStr">
        <x:is>
          <x:t xml:space="preserve">BR-015</x:t>
        </x:is>
      </x:c>
      <x:c r="B18" t="inlineStr">
        <x:is>
          <x:t xml:space="preserve">School Nurse Salary</x:t>
        </x:is>
      </x:c>
      <x:c r="C18" t="inlineStr">
        <x:is>
          <x:t xml:space="preserve">Verified</x:t>
        </x:is>
      </x:c>
      <x:c r="D18" t="inlineStr">
        <x:is>
          <x:t xml:space="preserve">Salary schedule (§1305), certificate required</x:t>
        </x:is>
      </x:c>
    </x:row>
    <x:row r="19">
      <x:c r="A19" t="inlineStr">
        <x:is>
          <x:t xml:space="preserve">BR-016</x:t>
        </x:is>
      </x:c>
      <x:c r="B19" t="inlineStr">
        <x:is>
          <x:t xml:space="preserve">Director</x:t>
        </x:is>
      </x:c>
      <x:c r="C19" t="inlineStr">
        <x:is>
          <x:t xml:space="preserve">No status entered</x:t>
        </x:is>
      </x:c>
      <x:c r="D19" t="inlineStr">
        <x:is>
          <x:t xml:space="preserve">1 for first 200 Division I units + 1 per add'l full 100 units, max 6 per distric[t...]</x:t>
        </x:is>
      </x:c>
    </x:row>
    <x:row r="20">
      <x:c r="A20" t="inlineStr">
        <x:is>
          <x:t xml:space="preserve">BR-017</x:t>
        </x:is>
      </x:c>
      <x:c r="B20" t="inlineStr">
        <x:is>
          <x:t xml:space="preserve">11-Month Supervisor</x:t>
        </x:is>
      </x:c>
      <x:c r="C20" t="inlineStr">
        <x:is>
          <x:t xml:space="preserve">No status entered</x:t>
        </x:is>
      </x:c>
      <x:c r="D20" t="inlineStr">
        <x:is>
          <x:t xml:space="preserve">1 per full 150 Division I units; fractional support for districts below first th[reshold...]</x:t>
        </x:is>
      </x:c>
    </x:row>
    <x:row r="21">
      <x:c r="A21" t="inlineStr">
        <x:is>
          <x:t xml:space="preserve">BR-018</x:t>
        </x:is>
      </x:c>
      <x:c r="B21" t="inlineStr">
        <x:is>
          <x:t xml:space="preserve">Buildings &amp; Grounds Supervisor</x:t>
        </x:is>
      </x:c>
      <x:c r="C21" t="inlineStr">
        <x:is>
          <x:t xml:space="preserve">Verified</x:t>
        </x:is>
      </x:c>
      <x:c r="D21" t="inlineStr">
        <x:is>
          <x:t xml:space="preserve">1 per district, only if district has &gt;=95 building units</x:t>
        </x:is>
      </x:c>
    </x:row>
    <x:row r="22">
      <x:c r="A22" t="inlineStr">
        <x:is>
          <x:t xml:space="preserve">BR-019</x:t>
        </x:is>
      </x:c>
      <x:c r="B22" t="inlineStr">
        <x:is>
          <x:t xml:space="preserve">Food Services Supervisor</x:t>
        </x:is>
      </x:c>
      <x:c r="C22" t="inlineStr">
        <x:is>
          <x:t xml:space="preserve">No status entered</x:t>
        </x:is>
      </x:c>
      <x:c r="D22" t="inlineStr">
        <x:is>
          <x:t xml:space="preserve">1 if &lt;500 units &amp; &gt;=4 schools w/ lunch programs; else 1 per full 500 units (stat[utory...]</x:t>
        </x:is>
      </x:c>
    </x:row>
    <x:row r="23">
      <x:c r="A23" t="inlineStr">
        <x:is>
          <x:t xml:space="preserve">BR-020</x:t>
        </x:is>
      </x:c>
      <x:c r="B23" t="inlineStr">
        <x:is>
          <x:t xml:space="preserve">Transportation Supervisor</x:t>
        </x:is>
      </x:c>
      <x:c r="C23" t="inlineStr">
        <x:is>
          <x:t xml:space="preserve">No status entered</x:t>
        </x:is>
      </x:c>
      <x:c r="D23" t="inlineStr">
        <x:is>
          <x:t xml:space="preserve">1 per 7,500 enrolled pupils; fractional support for districts below first thresh[old...]</x:t>
        </x:is>
      </x:c>
    </x:row>
    <x:row r="24">
      <x:c r="A24" t="inlineStr">
        <x:is>
          <x:t xml:space="preserve">BR-021</x:t>
        </x:is>
      </x:c>
      <x:c r="B24" t="inlineStr">
        <x:is>
          <x:t xml:space="preserve">Administrative Support Professionals</x:t>
        </x:is>
      </x:c>
      <x:c r="C24" t="inlineStr">
        <x:is>
          <x:t xml:space="preserve">Empty / not defined</x:t>
        </x:is>
      </x:c>
      <x:c r="D24" t="inlineStr">
        <x:is>
          <x:t xml:space="preserve">NOT DEFINED IN WORKBOOK</x:t>
        </x:is>
      </x:c>
    </x:row>
    <x:row r="25">
      <x:c r="A25" t="inlineStr">
        <x:is>
          <x:t xml:space="preserve">BR-022</x:t>
        </x:is>
      </x:c>
      <x:c r="B25" t="inlineStr">
        <x:is>
          <x:t xml:space="preserve">Instructional Supports</x:t>
        </x:is>
      </x:c>
      <x:c r="C25" t="inlineStr">
        <x:is>
          <x:t xml:space="preserve">Empty / not defined</x:t>
        </x:is>
      </x:c>
      <x:c r="D25" t="inlineStr">
        <x:is>
          <x:t xml:space="preserve">NOT DEFINED IN WORKBOOK</x:t>
        </x:is>
      </x:c>
    </x:row>
    <x:row r="26">
      <x:c r="A26" t="inlineStr">
        <x:is>
          <x:t xml:space="preserve">BR-023</x:t>
        </x:is>
      </x:c>
      <x:c r="B26" t="inlineStr">
        <x:is>
          <x:t xml:space="preserve">School Custodian Salary</x:t>
        </x:is>
      </x:c>
      <x:c r="C26" t="inlineStr">
        <x:is>
          <x:t xml:space="preserve">No status entered</x:t>
        </x:is>
      </x:c>
      <x:c r="D26" t="inlineStr">
        <x:is>
          <x:t xml:space="preserve">Salary schedule (§1311(a),(c)); prorated 1/12 per unworked month</x:t>
        </x:is>
      </x:c>
    </x:row>
    <x:row r="27">
      <x:c r="A27" t="inlineStr">
        <x:is>
          <x:t xml:space="preserve">BR-024</x:t>
        </x:is>
      </x:c>
      <x:c r="B27" t="inlineStr">
        <x:is>
          <x:t xml:space="preserve">Superintendent</x:t>
        </x:is>
      </x:c>
      <x:c r="C27" t="inlineStr">
        <x:is>
          <x:t xml:space="preserve">No status entered</x:t>
        </x:is>
      </x:c>
      <x:c r="D27" t="inlineStr">
        <x:is>
          <x:t xml:space="preserve">1 per reorganized school district, not charged against personnel allotment</x:t>
        </x:is>
      </x:c>
    </x:row>
    <x:row r="28">
      <x:c r="A28" t="inlineStr">
        <x:is>
          <x:t xml:space="preserve">BR-025</x:t>
        </x:is>
      </x:c>
      <x:c r="B28" t="inlineStr">
        <x:is>
          <x:t xml:space="preserve">Superintendent Salary</x:t>
        </x:is>
      </x:c>
      <x:c r="C28" t="inlineStr">
        <x:is>
          <x:t xml:space="preserve">No status entered</x:t>
        </x:is>
      </x:c>
      <x:c r="D28" t="inlineStr">
        <x:is>
          <x:t xml:space="preserve">Base (§1305/§1316) + greater of statutory or indexed admin. responsibility amoun[t...]</x:t>
        </x:is>
      </x:c>
    </x:row>
    <x:row r="29">
      <x:c r="A29" t="inlineStr">
        <x:is>
          <x:t xml:space="preserve">BR-026</x:t>
        </x:is>
      </x:c>
      <x:c r="B29" t="inlineStr">
        <x:is>
          <x:t xml:space="preserve">Assistant Superintendent</x:t>
        </x:is>
      </x:c>
      <x:c r="C29" t="inlineStr">
        <x:is>
          <x:t xml:space="preserve">No status entered</x:t>
        </x:is>
      </x:c>
      <x:c r="D29" t="inlineStr">
        <x:is>
          <x:t xml:space="preserve">1 per full 300 Division I units, max 2 per district</x:t>
        </x:is>
      </x:c>
    </x:row>
    <x:row r="30">
      <x:c r="A30" t="inlineStr">
        <x:is>
          <x:t xml:space="preserve">BR-027</x:t>
        </x:is>
      </x:c>
      <x:c r="B30" t="inlineStr">
        <x:is>
          <x:t xml:space="preserve">Specialist — 10-Month Visiting Teacher</x:t>
        </x:is>
      </x:c>
      <x:c r="C30" t="inlineStr">
        <x:is>
          <x:t xml:space="preserve">No status entered</x:t>
        </x:is>
      </x:c>
      <x:c r="D30" t="inlineStr">
        <x:is>
          <x:t xml:space="preserve">1 per full 250 Division I units; fractional support for districts below first th[reshold...]</x:t>
        </x:is>
      </x:c>
    </x:row>
    <x:row r="31">
      <x:c r="A31" t="inlineStr">
        <x:is>
          <x:t xml:space="preserve">BR-028</x:t>
        </x:is>
      </x:c>
      <x:c r="B31" t="inlineStr">
        <x:is>
          <x:t xml:space="preserve">Specialist — 10-Month Driver Education Teacher</x:t>
        </x:is>
      </x:c>
      <x:c r="C31" t="inlineStr">
        <x:is>
          <x:t xml:space="preserve">No status entered</x:t>
        </x:is>
      </x:c>
      <x:c r="D31" t="inlineStr">
        <x:is>
          <x:t xml:space="preserve">1 per full 125 tenth-grade students, or 0.2 FTE per full 25 tenth-grade students</x:t>
        </x:is>
      </x:c>
    </x:row>
    <x:row r="32">
      <x:c r="A32" t="inlineStr">
        <x:is>
          <x:t xml:space="preserve">BR-PEFC-001</x:t>
        </x:is>
      </x:c>
      <x:c r="B32" t="inlineStr">
        <x:is>
          <x:t xml:space="preserve">Opportunity Funding — Low Income</x:t>
        </x:is>
      </x:c>
      <x:c r="C32" t="inlineStr">
        <x:is>
          <x:t xml:space="preserve">Business rule confirmed</x:t>
        </x:is>
      </x:c>
      <x:c r="D32" t="inlineStr">
        <x:is>
          <x:t xml:space="preserve"># of LI Students Enrolled multiplied by the weight (0.675)</x:t>
        </x:is>
      </x:c>
    </x:row>
    <x:row r="33">
      <x:c r="A33" t="inlineStr">
        <x:is>
          <x:t xml:space="preserve">BR-PEFC-002</x:t>
        </x:is>
      </x:c>
      <x:c r="B33" t="inlineStr">
        <x:is>
          <x:t xml:space="preserve">Opportunity Funding — Multilingual Learner</x:t>
        </x:is>
      </x:c>
      <x:c r="C33" t="inlineStr">
        <x:is>
          <x:t xml:space="preserve">Business rule confirmed</x:t>
        </x:is>
      </x:c>
      <x:c r="D33" t="inlineStr">
        <x:is>
          <x:t xml:space="preserve"># of MLL Students Enrolled multiplied by the weight (0.470)</x:t>
        </x:is>
      </x:c>
    </x:row>
    <x:row r="34">
      <x:c r="A34" t="inlineStr">
        <x:is>
          <x:t xml:space="preserve">BR-PEFC-003</x:t>
        </x:is>
      </x:c>
      <x:c r="B34" t="inlineStr">
        <x:is>
          <x:t xml:space="preserve">Operational Funding — Enrollment</x:t>
        </x:is>
      </x:c>
      <x:c r="C34" t="inlineStr">
        <x:is>
          <x:t xml:space="preserve">Business rule confirmed</x:t>
        </x:is>
      </x:c>
      <x:c r="D34" t="inlineStr">
        <x:is>
          <x:t xml:space="preserve"># of Students Enrolled multiplied by the weight (0.200)</x:t>
        </x:is>
      </x:c>
    </x:row>
    <x:row r="35">
      <x:c r="A35" t="inlineStr">
        <x:is>
          <x:t xml:space="preserve">BR-PEFC-004</x:t>
        </x:is>
      </x:c>
      <x:c r="B35" t="inlineStr">
        <x:is>
          <x:t xml:space="preserve">Operational Funding — Low Income</x:t>
        </x:is>
      </x:c>
      <x:c r="C35" t="inlineStr">
        <x:is>
          <x:t xml:space="preserve">Business rule confirmed</x:t>
        </x:is>
      </x:c>
      <x:c r="D35" t="inlineStr">
        <x:is>
          <x:t xml:space="preserve"># of LI Students Enrolled multiplied by the weight (0.675)</x:t>
        </x:is>
      </x:c>
    </x:row>
    <x:row r="36">
      <x:c r="A36" t="inlineStr">
        <x:is>
          <x:t xml:space="preserve">BR-PEFC-005</x:t>
        </x:is>
      </x:c>
      <x:c r="B36" t="inlineStr">
        <x:is>
          <x:t xml:space="preserve">Operational Funding — Multilingual Learner</x:t>
        </x:is>
      </x:c>
      <x:c r="C36" t="inlineStr">
        <x:is>
          <x:t xml:space="preserve">Business rule confirmed</x:t>
        </x:is>
      </x:c>
      <x:c r="D36" t="inlineStr">
        <x:is>
          <x:t xml:space="preserve"># of MLL Students Enrolled multiplied by the weight (0.470)</x:t>
        </x:is>
      </x:c>
    </x:row>
    <x:row r="37">
      <x:c r="A37" t="inlineStr">
        <x:is>
          <x:t xml:space="preserve">BR-PEFC-006</x:t>
        </x:is>
      </x:c>
      <x:c r="B37" t="inlineStr">
        <x:is>
          <x:t xml:space="preserve">Operational Funding — Basic Special Education</x:t>
        </x:is>
      </x:c>
      <x:c r="C37" t="inlineStr">
        <x:is>
          <x:t xml:space="preserve">Business rule confirmed</x:t>
        </x:is>
      </x:c>
      <x:c r="D37" t="inlineStr">
        <x:is>
          <x:t xml:space="preserve"># of Basic Special Education Students Enrolled multiplied by the weight (0.480)</x:t>
        </x:is>
      </x:c>
    </x:row>
    <x:row r="38">
      <x:c r="A38" t="inlineStr">
        <x:is>
          <x:t xml:space="preserve">BR-PEFC-007</x:t>
        </x:is>
      </x:c>
      <x:c r="B38" t="inlineStr">
        <x:is>
          <x:t xml:space="preserve">Operational Funding — Intensive Special Education</x:t>
        </x:is>
      </x:c>
      <x:c r="C38" t="inlineStr">
        <x:is>
          <x:t xml:space="preserve">Business rule confirmed</x:t>
        </x:is>
      </x:c>
      <x:c r="D38" t="inlineStr">
        <x:is>
          <x:t xml:space="preserve"># of Intensive Special Education Students Enrolled multiplied by the weight (0.6[70]</x:t>
        </x:is>
      </x:c>
    </x:row>
    <x:row r="39">
      <x:c r="A39" t="inlineStr">
        <x:is>
          <x:t xml:space="preserve">BR-PEFC-008</x:t>
        </x:is>
      </x:c>
      <x:c r="B39" t="inlineStr">
        <x:is>
          <x:t xml:space="preserve">Operational Funding — Complex Special Education</x:t>
        </x:is>
      </x:c>
      <x:c r="C39" t="inlineStr">
        <x:is>
          <x:t xml:space="preserve">Business rule confirmed</x:t>
        </x:is>
      </x:c>
      <x:c r="D39" t="inlineStr">
        <x:is>
          <x:t xml:space="preserve"># of Complex Special Education Students Enrolled multiplied by the weight (1.540[)]</x:t>
        </x:is>
      </x:c>
    </x:row>
    <x:row r="40">
      <x:c r="A40" t="inlineStr">
        <x:is>
          <x:t xml:space="preserve">BR-PEFC-009</x:t>
        </x:is>
      </x:c>
      <x:c r="B40" t="inlineStr">
        <x:is>
          <x:t xml:space="preserve">Operational Funding — Vocational</x:t>
        </x:is>
      </x:c>
      <x:c r="C40" t="inlineStr">
        <x:is>
          <x:t xml:space="preserve">Business rule confirmed</x:t>
        </x:is>
      </x:c>
      <x:c r="D40" t="inlineStr">
        <x:is>
          <x:t xml:space="preserve"># of Vocational Students Enrolled multiplied by the weight (0.200)</x:t>
        </x:is>
      </x:c>
    </x:row>
    <x:row r="41">
      <x:c r="A41" t="inlineStr">
        <x:is>
          <x:t xml:space="preserve">BR-CO-009</x:t>
        </x:is>
      </x:c>
      <x:c r="B41" t="inlineStr">
        <x:is>
          <x:t xml:space="preserve">Reading Cadre (Literacy Specialist)</x:t>
        </x:is>
      </x:c>
      <x:c r="C41" t="inlineStr">
        <x:is>
          <x:t xml:space="preserve">DISCREPANCY — open</x:t>
        </x:is>
      </x:c>
      <x:c r="D41" t="inlineStr">
        <x:is>
          <x:t xml:space="preserve">Statute: §1305 10-month salary + district's own §1707 Division III Equalization [Unit share...] — NOT retired, ID reused unchanged in current register</x:t>
        </x:is>
      </x:c>
    </x:row>
  </x:sheetData>
  <x:mergeCells>
    <x:mergeCell ref="A1:D1"/>
  </x:mergeCells>
  <x:pageMargins left="0.7" right="0.7" top="0.75" bottom="0.75" header="0.3" footer="0.3"/>
</x:worksheet>
</file>