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Code\HFM-Calculator\"/>
    </mc:Choice>
  </mc:AlternateContent>
  <xr:revisionPtr revIDLastSave="0" documentId="13_ncr:1_{8CD2169D-F794-45A1-BCC4-E0DA85D1C03D}" xr6:coauthVersionLast="47" xr6:coauthVersionMax="47" xr10:uidLastSave="{00000000-0000-0000-0000-000000000000}"/>
  <bookViews>
    <workbookView xWindow="-57720" yWindow="-4845" windowWidth="29040" windowHeight="15720" activeTab="4" xr2:uid="{00000000-000D-0000-FFFF-FFFF00000000}"/>
  </bookViews>
  <sheets>
    <sheet name="Legend" sheetId="1" r:id="rId1"/>
    <sheet name="Rule Register" sheetId="2" r:id="rId2"/>
    <sheet name="Sheet1" sheetId="3" r:id="rId3"/>
    <sheet name="Formula Technical Reference" sheetId="4" r:id="rId4"/>
    <sheet name="New Rule Updates" sheetId="5" r:id="rId5"/>
    <sheet name="Weight Register" sheetId="6" r:id="rId6"/>
    <sheet name="FY25-26 State Total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7" l="1"/>
  <c r="D28" i="7" s="1"/>
  <c r="C27" i="7"/>
  <c r="D27" i="7" s="1"/>
  <c r="C26" i="7"/>
  <c r="D26" i="7" s="1"/>
  <c r="C25" i="7"/>
  <c r="D25" i="7" s="1"/>
  <c r="C16" i="7"/>
  <c r="D16" i="7" s="1"/>
  <c r="D15" i="7"/>
  <c r="D17" i="7" s="1"/>
  <c r="C15" i="7"/>
  <c r="B11" i="7"/>
  <c r="B10" i="7"/>
  <c r="D18" i="7" s="1"/>
  <c r="B9" i="7"/>
  <c r="B8" i="7"/>
  <c r="F19" i="6"/>
  <c r="C29" i="7" s="1"/>
  <c r="D29" i="7" s="1"/>
  <c r="F18" i="6"/>
  <c r="F17" i="6"/>
  <c r="F16" i="6"/>
  <c r="F15" i="6"/>
  <c r="F14" i="6"/>
  <c r="C24" i="7" s="1"/>
  <c r="D24" i="7" s="1"/>
  <c r="F13" i="6"/>
  <c r="C23" i="7" s="1"/>
  <c r="D23" i="7" s="1"/>
  <c r="F12" i="6"/>
  <c r="F11" i="6"/>
  <c r="F10" i="6"/>
  <c r="F9" i="6"/>
  <c r="F8" i="6"/>
  <c r="F7" i="6"/>
  <c r="F6" i="6"/>
  <c r="F5" i="6"/>
  <c r="D30" i="7" l="1"/>
  <c r="D31" i="7" s="1"/>
  <c r="E16" i="7"/>
  <c r="E15" i="7"/>
  <c r="E17" i="7" s="1"/>
  <c r="E19" i="7" s="1"/>
  <c r="E27" i="7" l="1"/>
  <c r="E28" i="7"/>
  <c r="E23" i="7"/>
  <c r="E24" i="7"/>
  <c r="E29" i="7"/>
  <c r="E26" i="7"/>
  <c r="E25" i="7"/>
  <c r="E30" i="7" l="1"/>
  <c r="E32" i="7" s="1"/>
</calcChain>
</file>

<file path=xl/sharedStrings.xml><?xml version="1.0" encoding="utf-8"?>
<sst xmlns="http://schemas.openxmlformats.org/spreadsheetml/2006/main" count="1645" uniqueCount="680">
  <si>
    <t>Rule Register — Legend &amp; Instructions</t>
  </si>
  <si>
    <t>Purpose: one row per business rule, with enough structure that a formula can be implemented from this sheet without re-reading statute text, and enough governance fields that everyone can see what's confirmed vs. pending.</t>
  </si>
  <si>
    <t>Cells filled with yellow and marked "TBD" need stakeholder input — they were not available from the source workbook or the HTML calculator's prior implementation.</t>
  </si>
  <si>
    <t>Rows shaded light red are open discrepancies (currently only BR-CO-009 / Reading Cadre). Rows shaded grey are categories with no formula defined yet in any source (Administrative Support Professionals, Instructional Supports).</t>
  </si>
  <si>
    <t>Column definitions</t>
  </si>
  <si>
    <t>Rule ID</t>
  </si>
  <si>
    <t>Unique, stable identifier. Never renumber or reuse once assigned — other sheets, the HTML calculator, and future audits will reference these IDs directly.</t>
  </si>
  <si>
    <t>Level / Scope</t>
  </si>
  <si>
    <t>School, District, or State — which level of the calculator applies this rule.</t>
  </si>
  <si>
    <t>Eligible LEA Type</t>
  </si>
  <si>
    <t>Which LEAs this rule funds: all LEAs, districts only, charters excluded, county Vo-Tech only, etc. Make eligibility a data field, not something read out of statute prose by whoever writes the code.</t>
  </si>
  <si>
    <t>Funding Type</t>
  </si>
  <si>
    <t>Unit-generated / Position (FTE) / Compensation / Appropriation / Equalization / Local Share / Cash Option. Tells the calculator whether to expect a headcount, a dollar figure, or nothing computable yet.</t>
  </si>
  <si>
    <t>Formula (Plain Language)</t>
  </si>
  <si>
    <t>Human-readable description, close to statute wording.</t>
  </si>
  <si>
    <t>Formula (Executable)</t>
  </si>
  <si>
    <t>Literal, unambiguous expression a developer can implement without interpretation. This is the column that would have caught the fractional-entitlement bug found in the HTML calculator on 2026-07-22 — prose ("fractional support below threshold") was misread as "continuous ratio at every level" instead of "fractional only below the first threshold, floored above it."</t>
  </si>
  <si>
    <t>Threshold Behavior</t>
  </si>
  <si>
    <t>Explicit category: Continuous ratio / Threshold gate / Piecewise stepped / Floored+capped / Fractional-below-first-threshold-only / Conditional branch / N/A. A second, independent check against the executable formula.</t>
  </si>
  <si>
    <t>Max / Cap</t>
  </si>
  <si>
    <t>Any statutory ceiling on the position count (e.g., Director capped at 6).</t>
  </si>
  <si>
    <t>Required Inputs</t>
  </si>
  <si>
    <t>Exact data fields the formula consumes.</t>
  </si>
  <si>
    <t>Data Source System / Snapshot Date / Data Owner</t>
  </si>
  <si>
    <t>Where the input data comes from, when it's collected, and who is responsible for supplying it.</t>
  </si>
  <si>
    <t>Legal Authority / Citation URL</t>
  </si>
  <si>
    <t>Exact statutory subsection and a link to the current text.</t>
  </si>
  <si>
    <t>Legal Text Snapshot Date</t>
  </si>
  <si>
    <t>Date the linked statute text was last confirmed to match the formula in this row. Without this, "verified" only tells you someone checked once, not whether the law has since changed.</t>
  </si>
  <si>
    <t>Fiscal Year Effective</t>
  </si>
  <si>
    <t>Especially important for appropriation-type rules (e.g. Reading Cadre / HB 225), which are reset every budget cycle and are not evergreen like Title 14 unit formulas.</t>
  </si>
  <si>
    <t>Business Owner / Legal-Policy Approver</t>
  </si>
  <si>
    <t>Two distinct named roles: who interprets the rule operationally, and who has authority to say the implementation is legally correct. (Sheet1 of the original workbook asked "who is the authoritative business owner" and it's still unanswered as of this register's creation.)</t>
  </si>
  <si>
    <t>Status</t>
  </si>
  <si>
    <t>Draft / Pending / Verified / Rejected / Superseded / Discrepancy / Empty.</t>
  </si>
  <si>
    <t>Status Date</t>
  </si>
  <si>
    <t>When Status was last set — lets you tell a stale "Verified" from a current one.</t>
  </si>
  <si>
    <t>Reconciliation Target</t>
  </si>
  <si>
    <t>A dollar or count figure this rule's statewide output should tie back to (e.g. an appropriation total). This is the field that would have surfaced the Reading Cadre ~2x gap systematically instead of by accident.</t>
  </si>
  <si>
    <t>Boundary Test Cases</t>
  </si>
  <si>
    <t>Concrete inputs at and near each threshold, with expected outputs. Forces whoever edits a formula to also state what "correct" looks like at the edges.</t>
  </si>
  <si>
    <t>Related Rule IDs</t>
  </si>
  <si>
    <t>Cross-references between rules that operate together (e.g. the 3 CTE rules, or a Position row and its paired Salary row).</t>
  </si>
  <si>
    <t>Notes / Open Questions</t>
  </si>
  <si>
    <t>Free text — open questions to DDOE, drafting errors spotted in prior source documents, correction history.</t>
  </si>
  <si>
    <t>Known open items as of this register's creation (2026-07-22):</t>
  </si>
  <si>
    <t>• BR-CO-009 (Reading Cadre): ~2x discrepancy between prior calculator output ($4,134,665) and the HB 225 appropriation ($2,064,600). Charter-exclusion logic and current §1707 equalization unit values need DDOE confirmation.</t>
  </si>
  <si>
    <t>• 10 of 29 rules have no Status entered in the original source workbook (BR-016, BR-017, BR-019, BR-020, BR-023, BR-024, BR-025, BR-026, BR-027, BR-028) — treat as pending, not verified, until confirmed.</t>
  </si>
  <si>
    <t>• BR-021 (Administrative Support Professionals) and BR-022 (Instructional Supports) have no formula defined anywhere yet. BR-022 in particular needs independent verification against full §1321 text — it may include unit-generated Related Services formulas, not just appropriations, per the Instructional Supports notes.</t>
  </si>
  <si>
    <t>• All Compensation-type rules (BR-010, BR-012, BR-013, BR-015, BR-023, BR-025) are blocked on missing §1305/§1308/§1311 salary schedule data — those schedules should become their own rule rows once sourced.</t>
  </si>
  <si>
    <t>Funding Component</t>
  </si>
  <si>
    <t>Data Source System</t>
  </si>
  <si>
    <t>Data Snapshot Date</t>
  </si>
  <si>
    <t>Data Owner</t>
  </si>
  <si>
    <t>Legal Authority (Citation)</t>
  </si>
  <si>
    <t>Citation URL</t>
  </si>
  <si>
    <t>Business Owner</t>
  </si>
  <si>
    <t>Legal / Policy Approver</t>
  </si>
  <si>
    <t>BR-001</t>
  </si>
  <si>
    <t>K–3 Regular Education</t>
  </si>
  <si>
    <t>School</t>
  </si>
  <si>
    <t>All LEAs</t>
  </si>
  <si>
    <t>Unit-generated</t>
  </si>
  <si>
    <t>1 unit per 16.2 students</t>
  </si>
  <si>
    <t>units = K3_enrollment / 16.2</t>
  </si>
  <si>
    <t>Continuous ratio, no floor/cap</t>
  </si>
  <si>
    <t>K–3 enrollment (excl. SpEd)</t>
  </si>
  <si>
    <t>Data Service Center (DSC)</t>
  </si>
  <si>
    <t>Sept 30 each year</t>
  </si>
  <si>
    <t>TBD</t>
  </si>
  <si>
    <t>14 Del. C. §1703(a)(2)</t>
  </si>
  <si>
    <t>https://delcode.delaware.gov/title14/c017/index.html</t>
  </si>
  <si>
    <t>Verified</t>
  </si>
  <si>
    <t>16.19 students -&gt; 0.999 units; 16.2 -&gt; 1.000 unit</t>
  </si>
  <si>
    <t>Student must not be double-counted in Basic/Intensive/Complex.</t>
  </si>
  <si>
    <t>BR-002</t>
  </si>
  <si>
    <t>Grades 4–12 Regular Education</t>
  </si>
  <si>
    <t>1 unit per 20 students</t>
  </si>
  <si>
    <t>units = G4_12_enrollment / 20</t>
  </si>
  <si>
    <t>Grades 4-12 enrollment (excl. SpEd)</t>
  </si>
  <si>
    <t>14 Del. C. §1703(a)(3)</t>
  </si>
  <si>
    <t>19.9 students -&gt; 0.995 units; 20 -&gt; 1.000 unit</t>
  </si>
  <si>
    <t>Reduced by 0.5 x CTE units at comprehensive high schools, see BR-008.</t>
  </si>
  <si>
    <t>BR-003</t>
  </si>
  <si>
    <t>Basic Special Education</t>
  </si>
  <si>
    <t>1 unit per 8.4 students</t>
  </si>
  <si>
    <t>units = Basic_SpEd_count / 8.4</t>
  </si>
  <si>
    <t>Basic SpEd count</t>
  </si>
  <si>
    <t>14 Del. C. §1703(a)(4)</t>
  </si>
  <si>
    <t>IEP-based counting rubric per §1703(7).</t>
  </si>
  <si>
    <t>BR-004</t>
  </si>
  <si>
    <t>Intensive Special Education</t>
  </si>
  <si>
    <t>1 unit per 6 students</t>
  </si>
  <si>
    <t>units = Intensive_SpEd_count / 6</t>
  </si>
  <si>
    <t>Intensive SpEd count</t>
  </si>
  <si>
    <t>14 Del. C. §1703(a)(5)</t>
  </si>
  <si>
    <t>Requires moderate support level per §1703(d)(5).</t>
  </si>
  <si>
    <t>BR-005</t>
  </si>
  <si>
    <t>Complex Special Education</t>
  </si>
  <si>
    <t>1 unit per 2.6 students</t>
  </si>
  <si>
    <t>units = Complex_SpEd_count / 2.6</t>
  </si>
  <si>
    <t>Complex SpEd count</t>
  </si>
  <si>
    <t>14 Del. C. §1703(a)(6)</t>
  </si>
  <si>
    <t>Requires high support level per §1703(d)(6).</t>
  </si>
  <si>
    <t>BR-006</t>
  </si>
  <si>
    <t>Career &amp; Technical Education — Unit Divisor</t>
  </si>
  <si>
    <t>All LEAs (Vo-Tech divisor differs)</t>
  </si>
  <si>
    <t>1 unit per 27,000 pupil-minutes/wk (or 1 per 30 students for county Vo-Tech districts)</t>
  </si>
  <si>
    <t>units = is_VoTech ? students/30 : pupil_minutes/27000</t>
  </si>
  <si>
    <t>CTE pupil-minutes/week or CTE student count; Vo-Tech flag</t>
  </si>
  <si>
    <t>14 Del. C. §1703(9)(g)</t>
  </si>
  <si>
    <t>BR-007, BR-008</t>
  </si>
  <si>
    <t>Vo-Tech divisor applies only to New Castle/Kent/Sussex Vo-Tech districts.</t>
  </si>
  <si>
    <t>BR-007</t>
  </si>
  <si>
    <t>Career &amp; Technical Education — Double-Count Allowance</t>
  </si>
  <si>
    <t>Students already counted in a regular unit still count toward CTE units</t>
  </si>
  <si>
    <t>cte_eligible = enrolled_in_DDOE_approved_CTE_program (independent of regular-unit count)</t>
  </si>
  <si>
    <t>N/A — eligibility rule, not a threshold</t>
  </si>
  <si>
    <t>DDOE CTE program approval flag</t>
  </si>
  <si>
    <t>14 Del. C. §1703(9)(h)</t>
  </si>
  <si>
    <t>BR-006, BR-008</t>
  </si>
  <si>
    <t>BR-008</t>
  </si>
  <si>
    <t>Career &amp; Technical Education — Regular Unit Deduction</t>
  </si>
  <si>
    <t>Comprehensive high schools only</t>
  </si>
  <si>
    <t>Deduct 0.5 regular unit per CTE unit at comprehensive high schools</t>
  </si>
  <si>
    <t>G4_12_units_adjusted = max(0, G4_12_units_raw - 0.5 * CTE_units) [only if is_comprehensive_HS]</t>
  </si>
  <si>
    <t>Linear deduction, floored at 0</t>
  </si>
  <si>
    <t>CTE units (BR-006); comprehensive-HS flag</t>
  </si>
  <si>
    <t>14 Del. C. §1703(9)(i)</t>
  </si>
  <si>
    <t>BR-006, BR-007</t>
  </si>
  <si>
    <t>BR-009</t>
  </si>
  <si>
    <t>Principal</t>
  </si>
  <si>
    <t>School (building or combined buildings)</t>
  </si>
  <si>
    <t>Position (FTE)</t>
  </si>
  <si>
    <t>1 principal per administrative unit with &gt;=15 Division I units</t>
  </si>
  <si>
    <t>principal_fte = (division_I_units &gt;= 15) ? 1 : 0</t>
  </si>
  <si>
    <t>Threshold gate (binary switch at 15, no floor/fraction beyond)</t>
  </si>
  <si>
    <t>1 per admin. unit</t>
  </si>
  <si>
    <t>Division I units (sum of BR-001..BR-005, BR-006)</t>
  </si>
  <si>
    <t>DOE Employment Data</t>
  </si>
  <si>
    <t>14 Del. C. §1307(2)</t>
  </si>
  <si>
    <t>https://delcode.delaware.gov/title14/c013/index.html</t>
  </si>
  <si>
    <t>14.99 units -&gt; 0; 15.00 units -&gt; 1</t>
  </si>
  <si>
    <t>BR-010</t>
  </si>
  <si>
    <t>Units above 15 in a qualifying building do not carry to another building.</t>
  </si>
  <si>
    <t>Principal Salary</t>
  </si>
  <si>
    <t>Compensation</t>
  </si>
  <si>
    <t>Base salary (§1305/§1316) + admin. responsibility supplement (greater of statutory or indexed schedule)</t>
  </si>
  <si>
    <t>salary = base_salary(§1305,§1316) + MAX(statutory_supplement, indexed_supplement)</t>
  </si>
  <si>
    <t>N/A — dollar formula, blocked on missing salary schedule</t>
  </si>
  <si>
    <t>Years of experience; §1305/§1316/§1307 schedules (NOT YET LOADED)</t>
  </si>
  <si>
    <t>14 Del. C. §1307</t>
  </si>
  <si>
    <t>Cannot compute a dollar value until §1305/§1316 schedules are loaded as their own rule rows.</t>
  </si>
  <si>
    <t>BR-011</t>
  </si>
  <si>
    <t>Assistant Principal</t>
  </si>
  <si>
    <t>1 AP at 30 units (0.65 at 25-&lt;30); 2nd AP at 55 units (0.65 at 50-&lt;55); +1 per add'l 20 units beyond 55</t>
  </si>
  <si>
    <t>ap = (u&gt;=30?1:(u&gt;=25?0.65:0)) + (u&gt;=55?1:(u&gt;=50?0.65:0)) + (u&gt;55?FLOOR((u-55)/20):0)</t>
  </si>
  <si>
    <t>Piecewise stepped (named breakpoints at 25/30/50/55/+20)</t>
  </si>
  <si>
    <t>Division I units</t>
  </si>
  <si>
    <t>14 Del. C. §1307(3)</t>
  </si>
  <si>
    <t>24.9 units -&gt; 0; 25 -&gt; 0.65; 29.9 -&gt; 0.65; 30 -&gt; 1.0; 54.9 -&gt; 1.0; 55 -&gt; 2.0; 75 -&gt; 3.0</t>
  </si>
  <si>
    <t>BR-012</t>
  </si>
  <si>
    <t>Fractional entitlement assigned to the school that generated it.</t>
  </si>
  <si>
    <t>Assistant Principal Salary</t>
  </si>
  <si>
    <t>Base (§1305) + admin. responsibility supplement, paid 12 months</t>
  </si>
  <si>
    <t>salary = base_salary(§1305) + MAX(statutory_supplement, indexed_supplement)</t>
  </si>
  <si>
    <t>§1305 schedule (NOT YET LOADED)</t>
  </si>
  <si>
    <t>BR-013</t>
  </si>
  <si>
    <t>Administrative / Financial / Senior Secretaries &amp; Clerks</t>
  </si>
  <si>
    <t>District</t>
  </si>
  <si>
    <t>Salary schedule per §1308(a) for Admin Assistant I/II/III, 12-month</t>
  </si>
  <si>
    <t>salary = salary_schedule_1308a(classification, years_experience)</t>
  </si>
  <si>
    <t>§1308(a) schedule (NOT YET LOADED); classification; years experience</t>
  </si>
  <si>
    <t>14 Del. C. §1308(a)</t>
  </si>
  <si>
    <t>BR-014</t>
  </si>
  <si>
    <t>School Nurse</t>
  </si>
  <si>
    <t>1 per 40 Division I state units; min. 1 per facility; 30% partial funding on fractional remainder</t>
  </si>
  <si>
    <t>full = FLOOR(u/40); remainder = u - full*40; fte = full + (remainder&gt;0 ? 0.3*(remainder/40) : 0)</t>
  </si>
  <si>
    <t>Floored plus 30% partial credit on remainder (unique to this rule)</t>
  </si>
  <si>
    <t>14 Del. C. §1310(b)</t>
  </si>
  <si>
    <t>39 units -&gt; 0.29 FTE; 40 units -&gt; 1.0 FTE; 79 units -&gt; 1.29 FTE</t>
  </si>
  <si>
    <t>BR-015</t>
  </si>
  <si>
    <t>Gap to 1-per-facility minimum funded via §1707/§1716 or local funds, not this formula.</t>
  </si>
  <si>
    <t>School Nurse Salary</t>
  </si>
  <si>
    <t>Salary schedule (§1305), certificate required</t>
  </si>
  <si>
    <t>salary = base_salary(§1305) [if certified]</t>
  </si>
  <si>
    <t>§1305 schedule (NOT YET LOADED); certification flag</t>
  </si>
  <si>
    <t>14 Del. C. §1310(a)</t>
  </si>
  <si>
    <t>BR-016</t>
  </si>
  <si>
    <t>Director</t>
  </si>
  <si>
    <t>1 for first 200 Division I units + 1 per add'l full 100 units, max 6 per district</t>
  </si>
  <si>
    <t>director = (u&gt;=200) ? MIN(6, 1+FLOOR((u-200)/100)) : 0</t>
  </si>
  <si>
    <t>Floored, capped at 6, NO fractional support below first threshold</t>
  </si>
  <si>
    <t>6</t>
  </si>
  <si>
    <t>District-total Division I units</t>
  </si>
  <si>
    <t>14 Del. C. §1321(e)(2)</t>
  </si>
  <si>
    <t>No status entered</t>
  </si>
  <si>
    <t>199.9 units -&gt; 0; 200 -&gt; 1; 299.9 -&gt; 1; 300 -&gt; 2; 700+ -&gt; capped at 6</t>
  </si>
  <si>
    <t>No fractional-support clause in statute text, unlike BR-017/018/020.</t>
  </si>
  <si>
    <t>BR-017</t>
  </si>
  <si>
    <t>11-Month Supervisor</t>
  </si>
  <si>
    <t>1 per full 150 Division I units; fractional support for districts below first threshold only</t>
  </si>
  <si>
    <t>supervisor = (u&lt;150) ? u/150 : FLOOR(u/150)</t>
  </si>
  <si>
    <t>Fractional below first threshold only, floored at/above (piecewise)</t>
  </si>
  <si>
    <t>14 Del. C. §1321(e)(4)</t>
  </si>
  <si>
    <t>149 units -&gt; 0.993; 150 -&gt; 1.000; 225 -&gt; 1 (NOT 1.5); 300 -&gt; 2</t>
  </si>
  <si>
    <t>Corrected 2026-07-22: prior implementation used a continuous ratio at all levels, overstating FTE above the first threshold (e.g. 225u wrongly gave 1.5 instead of 1).</t>
  </si>
  <si>
    <t>BR-018</t>
  </si>
  <si>
    <t>Buildings &amp; Grounds Supervisor</t>
  </si>
  <si>
    <t>1 per district, only if district has &gt;=95 building units</t>
  </si>
  <si>
    <t>bg_supervisor = (building_units &gt;= 95) ? 1 : 0</t>
  </si>
  <si>
    <t>Threshold gate (binary switch at 95)</t>
  </si>
  <si>
    <t>1 per district</t>
  </si>
  <si>
    <t>Building units (distinct from Division I units)</t>
  </si>
  <si>
    <t>14 Del. C. §1321(14)</t>
  </si>
  <si>
    <t>94 -&gt; 0; 95 -&gt; 1</t>
  </si>
  <si>
    <t>Counted within total allowed custodial personnel.</t>
  </si>
  <si>
    <t>BR-019</t>
  </si>
  <si>
    <t>Food Services Supervisor</t>
  </si>
  <si>
    <t>1 if &lt;500 units &amp; &gt;=4 schools w/ lunch programs; else 1 per full 500 units (state); additional up to 1/300 units locally funded</t>
  </si>
  <si>
    <t>fs = (u&lt;500) ? (lunch_schools&gt;=4 ? 1 : 0) : FLOOR(u/500)</t>
  </si>
  <si>
    <t>Conditional branch (small-district count-based vs large-district floor)</t>
  </si>
  <si>
    <t>District-total Division I units; count of schools with lunch programs</t>
  </si>
  <si>
    <t>14 Del. C. §1321(e)(8)</t>
  </si>
  <si>
    <t>Additional supervisors up to 1-per-300-units are locally funded from cafeteria receipts — not modeled as state FTE.</t>
  </si>
  <si>
    <t>BR-020</t>
  </si>
  <si>
    <t>Transportation Supervisor</t>
  </si>
  <si>
    <t>1 per 7,500 enrolled pupils; fractional support for districts below first threshold only</t>
  </si>
  <si>
    <t>transport = (enrolled&lt;7500) ? enrolled/7500 : FLOOR(enrolled/7500)</t>
  </si>
  <si>
    <t>Total district enrollment</t>
  </si>
  <si>
    <t>14 Del. C. §1321(e)(7)</t>
  </si>
  <si>
    <t>7,499 -&gt; 0.9999; 7,500 -&gt; 1.000; 10,000 -&gt; 1 (NOT 1.333)</t>
  </si>
  <si>
    <t>Corrected 2026-07-22, same fix as BR-017.</t>
  </si>
  <si>
    <t>BR-CO-009</t>
  </si>
  <si>
    <t>Reading Cadre (Literacy Specialist)</t>
  </si>
  <si>
    <t>Districts only, charters EXCLUDED per statute</t>
  </si>
  <si>
    <t>Appropriation</t>
  </si>
  <si>
    <t>Statute: §1305 10-month salary + district's own §1707 Division III Equalization Unit share, districts only. Prior calculator logic: flat $96,155 to every LEA incl. charters.</t>
  </si>
  <si>
    <t>DISPUTED — see Notes. Statute-consistent form: amount = salary_1305_10mo + district_specific_1707_equalization_share [district-only, exclude charter]</t>
  </si>
  <si>
    <t>Flat per-LEA (as coded) vs. district-varying equalization share (per statute) — UNRESOLVED</t>
  </si>
  <si>
    <t>§1707 Division III equalization unit value per district (ranges ~$1,225-$20,756); LEA type flag</t>
  </si>
  <si>
    <t>FY2026 Appropriations Act, HB 225 §322(4)</t>
  </si>
  <si>
    <t>https://legis.delaware.gov/BillDetail/142565</t>
  </si>
  <si>
    <t>DISCREPANCY — open</t>
  </si>
  <si>
    <t>HB 225 appropriation: $2,064,600 statewide. Prior calculator output: $4,134,665 (~2x over).</t>
  </si>
  <si>
    <t>Open questions to DDOE: (1) confirm charter exclusion, current LEA-name test wrongly includes charters; (2) confirm correct per-district §1707 calc + current unit values; (3) explain how output has been reconciled to appropriation to date, if at all.</t>
  </si>
  <si>
    <t>BR-021</t>
  </si>
  <si>
    <t>Administrative Support Professionals</t>
  </si>
  <si>
    <t>Unknown</t>
  </si>
  <si>
    <t>NOT DEFINED IN WORKBOOK</t>
  </si>
  <si>
    <t>N/A — undefined</t>
  </si>
  <si>
    <t>Empty / not defined</t>
  </si>
  <si>
    <t>Listed as a category header only in the source workbook — no formula, citation, or business rule entered yet.</t>
  </si>
  <si>
    <t>BR-022</t>
  </si>
  <si>
    <t>Instructional Supports</t>
  </si>
  <si>
    <t>Likely Appropriation (needs confirmation)</t>
  </si>
  <si>
    <t>Per Sheet1 notes: likely mostly appropriation-funded (Math Coaches, DE Literacy Plan, Early Literacy Coaches, Related Services, Opportunity Funding), not Title 14 unit-generated positions. IMPORTANT: current §1321 also appears to contain unit-generated Related Services formulas (rates based on complex/intensive/regular-basic groups) — needs independent verification against full §1321 text before assuming this category is exclusively appropriation-funded.</t>
  </si>
  <si>
    <t>BR-023</t>
  </si>
  <si>
    <t>School Custodian Salary</t>
  </si>
  <si>
    <t>Salary schedule (§1311(a),(c)); prorated 1/12 per unworked month</t>
  </si>
  <si>
    <t>salary = salary_schedule_1311(classification, years_experience) * (months_worked/12)</t>
  </si>
  <si>
    <t>§1311(a),(c) schedule (NOT YET LOADED); classification; months worked</t>
  </si>
  <si>
    <t>14 Del. C. §1311(a),(c)</t>
  </si>
  <si>
    <t>Corrected 2026-07-22: workbook column J26 is blank; previously mislabeled 'verified' in the HTML calculator. Covers Custodian, Asst/Chief Custodian, Skilled Maintenance/Craftsperson.</t>
  </si>
  <si>
    <t>BR-024</t>
  </si>
  <si>
    <t>Superintendent</t>
  </si>
  <si>
    <t>1 per reorganized school district, not charged against personnel allotment</t>
  </si>
  <si>
    <t>superintendent_fte = 1 (per district)</t>
  </si>
  <si>
    <t>Flat, always 1 per district</t>
  </si>
  <si>
    <t>14 Del. C. §1306(a)(b)</t>
  </si>
  <si>
    <t>BR-025</t>
  </si>
  <si>
    <t>Superintendent Salary</t>
  </si>
  <si>
    <t>Base (§1305/§1316) + greater of statutory or indexed admin. responsibility amount</t>
  </si>
  <si>
    <t>§1305/§1316 schedule (NOT YET LOADED)</t>
  </si>
  <si>
    <t>14 Del. C. §1306(a)</t>
  </si>
  <si>
    <t>Corrected 2026-07-22: workbook column J28 is blank; previously mislabeled 'verified' in the HTML calculator.</t>
  </si>
  <si>
    <t>BR-026</t>
  </si>
  <si>
    <t>Assistant Superintendent</t>
  </si>
  <si>
    <t>1 per full 300 Division I units, max 2 per district</t>
  </si>
  <si>
    <t>asst_supt = MIN(2, FLOOR(u/300))</t>
  </si>
  <si>
    <t>Floored, capped at 2, NO fractional support below first threshold</t>
  </si>
  <si>
    <t>2</t>
  </si>
  <si>
    <t>14 Del. C. §1321(e)(1)</t>
  </si>
  <si>
    <t>299.9 -&gt; 0; 300 -&gt; 1; 600 -&gt; 2; 900 -&gt; capped at 2</t>
  </si>
  <si>
    <t>Workbook's own 'Implementable Business Rule' text (H29) appears copy-pasted from the Director rule (BR-016) — flag to business owner as a drafting error in the source workbook, separate from the formula in columns C/E which is correct.</t>
  </si>
  <si>
    <t>BR-027</t>
  </si>
  <si>
    <t>Specialist — 10-Month Visiting Teacher</t>
  </si>
  <si>
    <t>1 per full 250 Division I units; fractional support for districts below first threshold only</t>
  </si>
  <si>
    <t>visiting_teacher = (u&lt;250) ? u/250 : FLOOR(u/250)</t>
  </si>
  <si>
    <t>14 Del. C. §1321(e)(5)</t>
  </si>
  <si>
    <t>249 units -&gt; 0.996; 250 -&gt; 1.000; 375 -&gt; 1 (NOT 1.5)</t>
  </si>
  <si>
    <t>Corrected 2026-07-22, same fix as BR-017/BR-020.</t>
  </si>
  <si>
    <t>BR-028</t>
  </si>
  <si>
    <t>Specialist — 10-Month Driver Education Teacher</t>
  </si>
  <si>
    <t>1 per full 125 tenth-grade students, or 0.2 FTE per full 25 tenth-grade students</t>
  </si>
  <si>
    <t>driver_ed = FLOOR(g10/25) * 0.2</t>
  </si>
  <si>
    <t>Stepped fractional (0.2 FTE per full 25 students — statute's own fractional structure)</t>
  </si>
  <si>
    <t>10th-grade enrollment</t>
  </si>
  <si>
    <t>14 Del. C. §1321(e)(6)</t>
  </si>
  <si>
    <t>24 students -&gt; 0; 25 -&gt; 0.2; 124 -&gt; 0.8; 125 -&gt; 1.0</t>
  </si>
  <si>
    <t>The list of questions</t>
  </si>
  <si>
    <t>Questions</t>
  </si>
  <si>
    <t>Notes</t>
  </si>
  <si>
    <t>Source</t>
  </si>
  <si>
    <t>For every business rule in this workbook, what is the authoritative legal or policy source?</t>
  </si>
  <si>
    <t xml:space="preserve">How the weights are defined, how the funding rate is defined, etc. </t>
  </si>
  <si>
    <t>PECF</t>
  </si>
  <si>
    <t>Who is the authoritative business owner responsible for interpreting and approving the implementation of each business rule used in this workbook?</t>
  </si>
  <si>
    <t>1.	Reading/Literacy Cadre is currently paid to every LEA — including charter schools — but HB 225 (FY2026 Operating Budget), Section 322(4), explicitly funds this line for “each local school district, excluding charter schools.” Can DDOE confirm the Calculator's D43 formula (which tests for “District” OR “Charter” in the LEA name) is wrong, and correct it to exclude charters?  [BR-CO-009]
2.	The same line is priced at a flat $96,155 in the Calculator, but the statute funds it as the §1305 salary schedule value (10-month, not 12-month) plus the district's own §1707 Division III Equalization Unit share — a figure that varies by district (from roughly $1,225 to $20,756 per unit per the August 2025 equalization presentation). Can DDOE confirm the correct per-district calculation and supply current §1707 unit values?  [BR-CO-009]
3.	Reconciling the above: the Calculator's own totals show 43 positions × $96,155 = $4,134,665 statewide for this line, against a $2,064,600 appropriation in HB 225 — roughly double. Can DDOE confirm this gap and explain how the Calculator's output has been reconciled against the actual appropriation to date, if at all?  [BR-CO-009]</t>
  </si>
  <si>
    <t>Who belong to the instructional supports?</t>
  </si>
  <si>
    <t xml:space="preserve">This needs careful to distinguish between unit-generated positions and appropriation-funded programs. From the FY2026 budget, many instructional support items (e.g., Math Coaches, DE Literacy Plan, Early Literacy Coaches, Related Services, Opportunity Funding) are appropriations, not generated personal ujnits. They appear as line items under District and Charter Operations rather than as Title 14 personnel formula. </t>
  </si>
  <si>
    <t>Who is the person that will provide each type of data?</t>
  </si>
  <si>
    <t>Delaware School Funding Formula Technical Reference</t>
  </si>
  <si>
    <t>Allocation Type</t>
  </si>
  <si>
    <t>Current Formula</t>
  </si>
  <si>
    <t>Authority/Citation</t>
  </si>
  <si>
    <t>Business Rule</t>
  </si>
  <si>
    <t>Data Source</t>
  </si>
  <si>
    <t>Data Time</t>
  </si>
  <si>
    <t>Implemtable Business Rules</t>
  </si>
  <si>
    <t>Official Code / Source</t>
  </si>
  <si>
    <t>Unit</t>
  </si>
  <si>
    <t>1 position per 16.2 students</t>
  </si>
  <si>
    <t>A student shall be counted in the K–3 regular education unit if the student is enrolled in kindergarten through grade 3 and not counted in the basic unit, intensive unit or complex unit.</t>
  </si>
  <si>
    <t>September 30 each year</t>
  </si>
  <si>
    <t>Count students enrolled in Kindergarten through Grade 3 who are not counted in the Basic, Intensive, or Complex Special Education units.</t>
  </si>
  <si>
    <t>verified</t>
  </si>
  <si>
    <t>NEW RULE (2026-07-22): District and charter eligible. See 'New Rule Updates' row 15.</t>
  </si>
  <si>
    <t>1 position per 20 students</t>
  </si>
  <si>
    <t>A student shall be counted in the Grades 4–12 Regular Education Unit if the student is enrolled in grades 4 through 12 and not identified as eligible for special education and related services.</t>
  </si>
  <si>
    <t>Count a student in the Grades 4–12 Regular Education Unit if the student is enrolled in Grades 4 through 12 and is not identified as eligible for special education and related services.</t>
  </si>
  <si>
    <t>NEW RULE (2026-07-22): District and charter eligible. See 'New Rule Updates' row 16.</t>
  </si>
  <si>
    <t>1 position per 8.4 students</t>
  </si>
  <si>
    <t>A student shall be counted in the basic unit if the student is enrolled in kindergarten through grade 12; identified as eligible for special education and related services; and not counted in the intensive unit or the complex unit.</t>
  </si>
  <si>
    <t>Count a student in the Basic Special Education Unit if the student is enrolled in Kindergarten through Grade 12, is identified as eligible for special education and related services, and is not counted in the Intensive Special Education Unit or the Complex Special Education Unit.</t>
  </si>
  <si>
    <t>14 Del. C. §1703(7) Counting students in preschool, basic, intensive, or complex shall be based on the Individual Education Program (IEP) and
according to rules and rubrics described in Department of Education regulations.
NEW RULE (2026-07-22): Pre-K–12; district and charter eligible. Confirm Pre-K citation/scope. See row 17 of 'New Rule Updates'.</t>
  </si>
  <si>
    <t>1 position per 6 students</t>
  </si>
  <si>
    <t>A student shall be counted in the intensive unit if the student is enrolled in preschool through grade 12; identified as a student eligible for special education; and in need of a moderate level of instructional, behavioral, personal, or health support as described in §1703(d)(5).</t>
  </si>
  <si>
    <t>Count a student in the Intensive Special Education Unit if the student is enrolled in Preschool through Grade 12, is eligible for special education, and requires a moderate level of instructional, behavioral, personal, or health support, as defined by Title 14 and DDOE regulations.</t>
  </si>
  <si>
    <t>NEW RULE (2026-07-22): Pre-K–12; district and charter eligible. See 'New Rule Updates' row 18.</t>
  </si>
  <si>
    <t>1 position per 2.6 students</t>
  </si>
  <si>
    <t>A student shall be counted in the complex unit if the student is enrolled in preschool through grade 12; identified as a student eligible for special education; and in need of a high level of instructional, behavioral, personal, or health support as described in §1703(d)(6).</t>
  </si>
  <si>
    <t>Count a student in the Complex Special Education Unit if the student is enrolled in Preschool through Grade 12, is eligible for special education, and requires a high level of instructional, behavioral, personal, or health support, as defined by Title 14 and DDOE regulations.</t>
  </si>
  <si>
    <t>NEW RULE (2026-07-22): Pre-K–12; district and charter eligible. See 'New Rule Updates' row 19.</t>
  </si>
  <si>
    <t>Career &amp; Technical Education</t>
  </si>
  <si>
    <t>Occupational-Vocational Unit</t>
  </si>
  <si>
    <t>1 unit per 27,000 pupil minutes (or 1 unit per 30 students for county vocational districts)</t>
  </si>
  <si>
    <t>An occupational-vocational unit for financing purposes shall mean 27,000 pupil minutes per week; provided, however, units shall be counted on the basis of 1 unit for each 30 students for students enrolled in the New Castle County Vocational-Technical School District, the Kent County Vocational-Technical School District and the Sussex County Vocatio+D12al-Technical School District. Computation of 27,000 pupil minutes per week shall be in accordance with the rules and regulations established by the Department of Education.</t>
  </si>
  <si>
    <t>Generate one Occupational-Vocational Unit for every 27,000 pupil minutes per week. For the New Castle County, Kent County, and Sussex County Vocational-Technical School Districts, generate one Occupational-Vocational Unit for every 30 enrolled students.</t>
  </si>
  <si>
    <t xml:space="preserve">There are 3 business rules for CTE </t>
  </si>
  <si>
    <t>14 Del. C. §1703(9)(h))</t>
  </si>
  <si>
    <t>Notwithstanding the fact that such pupils have been counted in regular units of pupils, grades 7 to 12, inclusive, in the same or another school district, pupils who are enrolled in a vocational or occupational education program which has been approved annually by the Department of Education and which is conducted by any public school district shall also be counted for entitlement to vocational units.</t>
  </si>
  <si>
    <t>Count students enrolled in a DDOE-approved occupational-vocational education program toward Occupational-Vocational Units, even if they have already been counted in Regular Education Units.</t>
  </si>
  <si>
    <t>Pupils having been counted in the occupational-vocational units of pupils shall be deducted from the regular unit entitlement of a comprehensive high school according to the following formula: Occupational-vocational units × 0.5 = deductible units.</t>
  </si>
  <si>
    <t>Reduce the Regular Education Unit entitlement of a comprehensive high school by 0.5 for each Occupational-Vocational Unit generated.</t>
  </si>
  <si>
    <t>Position</t>
  </si>
  <si>
    <t>1 principal per administrative unit with ≥ 15 Divions I units</t>
  </si>
  <si>
    <t>A reorganized school district may employ one full-time principal for each administrative unit in a school building or combination of school buildings having 15 or more Division I state units of pupils. Division I state units in excess of 15 in one school building qualifying for a full-time principal shall not be counted toward entitlement for a principal for a combination of buildings.</t>
  </si>
  <si>
    <t>Allocate one full-time principal to each administrative unit in a school building or combination of school buildings with 15 or more Division I state units. Do not use Division I state units exceeding 15 from a qualifying school building to establish principal entitlement for another administrative unit.</t>
  </si>
  <si>
    <t>Base Salary + Administrative Responsibility Supplement</t>
  </si>
  <si>
    <t>A principal who is subordinate to a chief school officer in a district shall receive as a salary the amount for which that principal qualifies under §1316 of this title and the schedule set forth in §1305(a), (b), and (d) of this title, plus an annual amount for administrative responsibility. The amount for administrative responsibility shall be determined either in accordance with the statutory schedule or by multiplying the appropriate index value by the amount provided under §1305(a), (b), and (d), whichever is greater.</t>
  </si>
  <si>
    <t>Calculate the principal's annual salary by:
Determining the principal's base salary under §§1305 and 1316.
Calculating the administrative responsibility supplement using the statutory salary schedule based on years of administrative experience and number of teachers.
Calculating the administrative responsibility supplement using the indexed schedule based on years of administrative experience and Division I Units.
Selecting the greater of the two administrative responsibility supplements.
Adding the selected supplement to the base salary.</t>
  </si>
  <si>
    <t>1 AP at 30 units; 2 at 55 units; +1 per additional 20 units</t>
  </si>
  <si>
    <t>A school district may employ: One full-time assistant principal in a school enrolling 30 or more Division I units of pupils, or 65% of a unit for schools enrolling 25 but fewer than 30 Division I units; A second assistant principal when enrollment reaches 55 Division I units, or 65% of a unit when enrollment reaches 50 but fewer than 55 Division I units; One additional assistant principal for every 20 Division I units beyond the first 55. Any fractional units provided shall be assigned to the school that generated the fractional unit.</t>
  </si>
  <si>
    <t>Allocate assistant principal positions according to Division I unit enrollment:
Allocate 1.0 FTE when a school has 30 or more Division I units.
Allocate 0.65 FTE when a school has 25 to fewer than 30 Division I units.
Allocate a second 1.0 FTE when a school has 55 or more Division I units.
Allocate 0.65 FTE for the second position when a school has 50 to fewer than 55 Division I units.
Allocate one additional assistant principal for every 20 Division I units beyond the first 55.
Assign any fractional entitlement to the school that generated it.</t>
  </si>
  <si>
    <t>Assistant principals shall be paid from state funds for 12 months per year the amount for which they are eligible under §1305(a), (b), and (d) of this title, plus an annual amount for administrative responsibility. The amount for administrative responsibility shall be determined either in accordance with the statutory schedule or by multiplying the amount provided under §1305(a), (b), and (d) by the appropriate index value, whichever is greater.</t>
  </si>
  <si>
    <t>Calculate the assistant principal's annual salary by:
Determining the assistant principal's base salary under §1305.
Calculating the administrative responsibility supplement using the statutory salary schedule based on years of administrative experience.
Calculating the administrative responsibility supplement using the indexed schedule.
Selecting the greater of the two administrative responsibility supplements.
Adding the selected supplement to the base salary.</t>
  </si>
  <si>
    <t xml:space="preserve">Administrative secretaries, financial secretaries, senior secretaires, secretaries and clerks </t>
  </si>
  <si>
    <t>Salary Schedule</t>
  </si>
  <si>
    <t>Administrative Assistant I, II, and III employees who work and are paid for 12 months per year shall be paid in accordance with the salary schedule established under 14 Del. C. §1308(a).</t>
  </si>
  <si>
    <t>Determine the salary for each eligible Administrative Assistant I, II, or III using the salary schedule in §1308(a).</t>
  </si>
  <si>
    <t>School nurse</t>
  </si>
  <si>
    <t>1 position per 40 Division I state units of pupils</t>
  </si>
  <si>
    <t>A reorganized school district may employ school nurses to be paid from state funds at a rate of one nurse for each 40 state units of pupils. Each reorganized school district shall ensure that it has at least one school nurse per facility. Districts shall qualify for partial funding at the rate of 30% of the fractional part of 40 state units of pupils. Schools for the physically handicapped shall be funded in accordance with DDOE regulations.</t>
  </si>
  <si>
    <t>Allocate one school nurse for every 40 Division I state units of pupils. Ensure that each school facility has at least one school nurse. If the allocation formula does not provide one nurse per facility, allocate the additional nurse using funding under §§1707 or 1716 or local operating funds. Allocate partial funding equal to 30% of the fractional portion of 40 state units.</t>
  </si>
  <si>
    <t>All school nurses who hold the appropriate certificate shall be paid in accordance with §1305.</t>
  </si>
  <si>
    <t>Determine whether the school nurse holds the appropriate certification. If eligible, assign salary according to the salary schedule established in §1305.</t>
  </si>
  <si>
    <t>1 position for the first 200 Division I state units plus 1 additional position for each additional full 100 Division I state units (maximum 6)</t>
  </si>
  <si>
    <t>14 Del. C. §1321(e )(2)</t>
  </si>
  <si>
    <t>Directors for a period of 12 months per year at the rate of 1 for the first full 200 state units of pupils and 1 for each additional
full 100 state units of pupils not to exceed a total of 6 per reorganized school district;</t>
  </si>
  <si>
    <t>Allocate one 12-month Director for the first full 200 Division I state units. Allocate one additional Director for each additional full 100 Division I state units. Do not exceed six Director positions per reorganized school district.</t>
  </si>
  <si>
    <t>PROPOSED NEW RULE (provided 2026-07-22): 1 Position for the first 200 Division I Positions plus 1 for each additional 100 Division I Positions (max of 6).
Prior workbook formula retained pending approval: 1 position for the first 200 Division I state units plus 1 additional position for each additional full 100 Division I state units (maximum 6).
Existing authority/citation: 14 Del. C. §1321(e )(2).
See 'New Rule Updates' sheet. Status: pending legal/policy verification.</t>
  </si>
  <si>
    <t>1 position per 150 Division I state units</t>
  </si>
  <si>
    <t>14 Del. C. §1321(e )(4)</t>
  </si>
  <si>
    <t>Supervisors for a period of 11 months during the fiscal year 1982 and thereafter at the rate of 1 for each full 150 state units of
pupils. Those districts with less units than needed for a supervisor, the Department of Education shall provide support for the fractional
part of the first supervisor;</t>
  </si>
  <si>
    <t>Allocate one 11-month Supervisor for every full 150 Division I state units. If a district does not generate one full supervisor, allocate the appropriate fractional entitlement as provided by statute.</t>
  </si>
  <si>
    <t>PROPOSED NEW RULE (provided 2026-07-22): 1 Position per 150 Division I Positions.
Prior workbook formula retained pending approval: 1 position per 150 Division I state units.
Existing authority/citation: 14 Del. C. §1321(e )(4).
See 'New Rule Updates' sheet. Status: pending legal/policy verification.</t>
  </si>
  <si>
    <t>Buildings and Grounds Supervisor</t>
  </si>
  <si>
    <t>1 position per district with at least 95 building units</t>
  </si>
  <si>
    <t>Supervisor of buildings and grounds for a period of 12 months per year at the rate of 1 per reorganized school district. — For
a school district to have a building and grounds supervisor, it must have 95 or more building units as defined by the State Board of
Education. Supervisors so employed shall be paid in accordance with subsection (c) of this section. This position is included in the
total number of custodial personnel allowed;</t>
  </si>
  <si>
    <t>Allocate one 12-month Buildings and Grounds Supervisor only if the reorganized school district has 95 or more building units as defined by the State Board of Education.</t>
  </si>
  <si>
    <t>PROPOSED NEW RULE (provided 2026-07-22): 1 Position per District or Charter.
Prior workbook formula retained pending approval: 1 position per district with at least 95 building units.
Existing authority/citation: 14 Del. C. §1321(14).
See 'New Rule Updates' sheet. Status: pending legal/policy verification.</t>
  </si>
  <si>
    <t>Food Services Supervisor (Supervisors of school lunch)</t>
  </si>
  <si>
    <t>See statutory thresholds</t>
  </si>
  <si>
    <t>14 Del. C. §1321(e )(8)</t>
  </si>
  <si>
    <t>Supervisors of school lunch for a period of 12 months per year, such supervisors to be paid at the salary of “supervisors” as set
forth in subsection (c) of this section at the rate of:
a. One such supervisor in any district having less than 500 units having 4 or more schools with school lunch programs;
b. One in any district having 500 units or more, 1 such supervisor for every 500 full units. In addition, each such school district
shall employ such additional supervisors so that the total number of such supervisors equals 1 supervisor for each 300 full units to
be paid out of revenue receipts from cafeteria funds.</t>
  </si>
  <si>
    <t>If a district has fewer than 500 Division I state units and at least four schools operating lunch programs, allocate one Food Services Supervisor. If a district has 500 or more Division I state units, allocate one supervisor for every full 500 Division I state units. Additional supervisors required to achieve one supervisor per 300 full Division I state units shall be locally funded from cafeteria receipts.</t>
  </si>
  <si>
    <t>PROPOSED NEW RULE (provided 2026-07-22): 1 Position per District or Charter. Earned at a rate of 1 Position per 500 Division I Positions Beyond the First 500.
Prior workbook formula retained pending approval: See statutory thresholds.
Existing authority/citation: 14 Del. C. §1321(e )(8).
See 'New Rule Updates' sheet. Status: pending legal/policy verification.</t>
  </si>
  <si>
    <t>1 position per 7,500 enrolled pupils</t>
  </si>
  <si>
    <t>14 Del. C. §1321(e )(7)</t>
  </si>
  <si>
    <t>Supervisors of transportation for a period of 12 months per year at the rate of 1 such supervisor per 7,500 or more enrolled pupils. For districts that do not qualify for a transportation supervisor, fractional units shall be provided to allow for such personnel.</t>
  </si>
  <si>
    <t>Allocate one 12-month Transportation Supervisor for every 7,500 enrolled pupils. Districts that do not generate one full supervisor receive the applicable fractional entitlement.</t>
  </si>
  <si>
    <t>PROPOSED NEW RULE (provided 2026-07-22): 1 Position per 7,500 Students.
Prior workbook formula retained pending approval: 1 position per 7,500 enrolled pupils.
Existing authority/citation: 14 Del. C. §1321(e )(7).
See 'New Rule Updates' sheet. Status: pending legal/policy verification.</t>
  </si>
  <si>
    <t>Reading Cadre</t>
  </si>
  <si>
    <t>1 Reading Specialist per local school district (charters excluded)</t>
  </si>
  <si>
    <t xml:space="preserve"> FY2026 Appropriations  Act HB 225 §322(4)</t>
  </si>
  <si>
    <t>"$2,064.6 for Literacy Cadre. This appropriation will provide each local school district, excluding charter schools, with the state share of salaries in accordance with 14 Del. C. §1305 and the state share of the Division III Equalization Unit amount as defined in 14 Del. C. §1707 for one 10-month Reading Specialist. The purpose of this Specialist will be the creation of a Literacy Cadre...</t>
  </si>
  <si>
    <t>PROPOSED NEW RULE (provided 2026-07-22): 1 Position per District or Charter.
Prior workbook formula retained pending approval: 1 Reading Specialist per local school district (charters excluded).
Existing authority/citation:  FY2026 Appropriations  Act HB 225 §322(4).
See 'New Rule Updates' sheet. Status: pending legal/policy verification.
ELIGIBILITY CLARIFICATION (2026-07-22): Reading Cadre applies to both districts and charter schools. Business rule confirmed; legal citation reconciliation remains pending.</t>
  </si>
  <si>
    <t>14 Del. C. §1311(a), ©</t>
  </si>
  <si>
    <t>Custodians who have the qualifications required by the certifying board and who work and are paid for 12 months per year shall be paid in accordance with the salary schedule established under §1311(a). One twelfth of the annual salary shall be deducted for each month the employee is not employed.</t>
  </si>
  <si>
    <t>Determine whether the employee is a qualified Custodian, Assistant Chief Custodian, Chief Custodian, or Skilled Maintenance/Craftsperson employed on a 12-month basis. Assign the annual salary using the applicable salary schedule based on the employee's classification and years of experience. If the employee works fewer than 12 months, reduce the annual salary by one-twelfth for each month not employed.</t>
  </si>
  <si>
    <t xml:space="preserve">Position </t>
  </si>
  <si>
    <t>1 position per reorganized school district</t>
  </si>
  <si>
    <t>Each reorganized school district may employ one superintendent to be paid from state funds. The superintendent shall not be charged against the district's personnel allotment.</t>
  </si>
  <si>
    <t>Allocate one state-funded superintendent position to each reorganized school district. Do not charge the position against the district's personnel allotment under Chapter 13</t>
  </si>
  <si>
    <t>PROPOSED NEW RULE (provided 2026-07-22): 1 Position per District or Charter.
Prior workbook formula retained pending approval: 1 position per reorganized school district.
Existing authority/citation: 14 Del. C. §1306(a)(b).
See 'New Rule Updates' sheet. Status: pending legal/policy verification.
ELIGIBILITY CLARIFICATION (2026-07-22): Superintendent applies to both districts and charter schools. Business rule confirmed; legal citation reconciliation remains pending.</t>
  </si>
  <si>
    <t>A superintendent who is the chief school officer of a district and who holds the appropriate certificate shall receive the salary determined under §§1305 and 1316 plus an annual administrative responsibility amount determined under the statutory schedules, whichever is greater.</t>
  </si>
  <si>
    <t>Calculate the superintendent's annual salary by determining the base salary under §§1305 and 1316, calculating the administrative responsibility amount using both the statutory dollar schedule and the indexed schedule, selecting the greater amount, and adding it to the base salary.</t>
  </si>
  <si>
    <t>1 position for each full 300 Division I state units (maximum 2 positions per district)</t>
  </si>
  <si>
    <t>14 Del. C. §1321(e )(1)</t>
  </si>
  <si>
    <t>Assistant superintendents for a period of 12 months per year at the rate of 1 for each full 300 state units of pupils not to exceed a total of 2 per reorganized school district;</t>
  </si>
  <si>
    <t>Allocate one 12-month Director for the first full 200 Division I state units. Allocate one additional Director for each additional full 100 Division I state units. Do not exceed six Director positions per reorganized school district</t>
  </si>
  <si>
    <t>PROPOSED NEW RULE (provided 2026-07-22): 1 Position per 300 Division I Positions (max of 2).
Prior workbook formula retained pending approval: 1 position for each full 300 Division I state units (maximum 2 positions per district).
Existing authority/citation: 14 Del. C. §1321(e )(1).
See 'New Rule Updates' sheet. Status: pending legal/policy verification.
ELIGIBILITY CLARIFICATION (2026-07-22): Assistant Superintendent applies to districts only; charter schools are not eligible. Business rule confirmed; legal citation reconciliation remains pending.</t>
  </si>
  <si>
    <t>Specialist -- 10-month visiting teachers</t>
  </si>
  <si>
    <t>1 position per 250 Division I state units</t>
  </si>
  <si>
    <t>14 Del. C. §1321(e )(5)</t>
  </si>
  <si>
    <t>Specialist. — Visiting teachers for a period of 10 months per year at the rate of 1 for each full 250 state units of pupil. For districts that do not qualify for a visiting teacher, fractional units shall be provided to allow for such personnel;</t>
  </si>
  <si>
    <t>Allocate one 10-month Visiting Teacher for every full 250 Division I state units. Districts not generating one full position receive the appropriate fractional entitlement.</t>
  </si>
  <si>
    <t>Specialist -- 10-month driver education teachers</t>
  </si>
  <si>
    <t>1 position per 125 tenth-grade students (or 0.2 per 25 students)</t>
  </si>
  <si>
    <t>14 Del. C. §1321(e )(6)</t>
  </si>
  <si>
    <t>Driver education teachers for a period of 10 months per year at the rate of 1 for each full 125 10th grade student in the district or 1/5 of a teacher for each full 25 tenth grade students in the district;</t>
  </si>
  <si>
    <t>Allocate one 10-month Driver Education Teacher for every full 125 tenth-grade students. Allocate 0.2 FTE for every full 25 tenth-grade students.</t>
  </si>
  <si>
    <t>Division I Teacher - Preschool Basic Special Education Pre-K</t>
  </si>
  <si>
    <t>1 position per 8.4 pupils</t>
  </si>
  <si>
    <t>14 Del. C. §1703(a)(1)</t>
  </si>
  <si>
    <t>Generate one Division I Pre-K position for every 8.4 eligible Pre-K pupils. Districts and charter schools are eligible under the new rule.</t>
  </si>
  <si>
    <t>Count eligible Pre-K pupils and divide by 8.4. Keep regular Pre-K pupils separate from pupils counted in Basic, Intensive, or Complex Special Education to prevent double counting.</t>
  </si>
  <si>
    <t xml:space="preserve">verified </t>
  </si>
  <si>
    <t>NEW RULE (provided 2026-07-22): Adds the previously missing Pre-K allocation and changes charter eligibility. Confirm the exact code subsection, effective date, business owner, and mutually exclusive student classification rules.</t>
  </si>
  <si>
    <t>Hybrid Funding Model — New Rule Updates</t>
  </si>
  <si>
    <t>Rules supplied July 22, 2026. Central-office, Division I, Opportunity Funding, and Operational Funding updates are documented below. Legal authority, effective date, and business-owner fields remain TBD where noted. Operational Funding—Enrollment has an open population-basis discrepancy: total students vs. regular education students.</t>
  </si>
  <si>
    <t>Proposed New Rule</t>
  </si>
  <si>
    <t>Proposed Scope / Open Interpretation</t>
  </si>
  <si>
    <t>Current Workbook Reference</t>
  </si>
  <si>
    <t>Verification Status</t>
  </si>
  <si>
    <t>Authority / Citation</t>
  </si>
  <si>
    <t>Effective Date</t>
  </si>
  <si>
    <t>1 Position per District or Charter</t>
  </si>
  <si>
    <t>District or charter — both are eligible</t>
  </si>
  <si>
    <t>Formula Technical Reference!A27:K27</t>
  </si>
  <si>
    <t>Business rule confirmed; legal citation pending</t>
  </si>
  <si>
    <t>Administrative Assistant</t>
  </si>
  <si>
    <t>No dedicated allocation row in current workbook</t>
  </si>
  <si>
    <t>1 Position per 300 Division I Positions (max of 2)</t>
  </si>
  <si>
    <t>District only — charter schools are not eligible</t>
  </si>
  <si>
    <t>Formula Technical Reference!A29:K29</t>
  </si>
  <si>
    <t>1 Position for the first 200 Division I Positions plus 1 for each additional 100 Division I Positions (max of 6)</t>
  </si>
  <si>
    <t>District or charter eligibility requires confirmation</t>
  </si>
  <si>
    <t>Formula Technical Reference!A18:K18</t>
  </si>
  <si>
    <t>Pending legal/policy verification</t>
  </si>
  <si>
    <t>1 Position per 150 Division I Positions</t>
  </si>
  <si>
    <t>District or charter eligibility and fractional treatment require confirmation</t>
  </si>
  <si>
    <t>Formula Technical Reference!A19:K19</t>
  </si>
  <si>
    <t>District or charter; proposed rule removes current 95-building-unit threshold</t>
  </si>
  <si>
    <t>Formula Technical Reference!A20:K20</t>
  </si>
  <si>
    <t>1 Position per District or Charter. Earned at a rate of 1 Position per 500 Division I Positions Beyond the First 500.</t>
  </si>
  <si>
    <t>District or charter; lunch-program and cafeteria-funded provisions require reconciliation</t>
  </si>
  <si>
    <t>Formula Technical Reference!A21:K21</t>
  </si>
  <si>
    <t>1 Position per 7,500 Students</t>
  </si>
  <si>
    <t>Formula Technical Reference!A22:K22</t>
  </si>
  <si>
    <t>Formula Technical Reference!A23:K23</t>
  </si>
  <si>
    <t>Division I Teacher - Pre-K</t>
  </si>
  <si>
    <t>1 Position per 8.4 pupils</t>
  </si>
  <si>
    <t>Pre-K; districts and charter schools are eligible</t>
  </si>
  <si>
    <t>New dedicated Pre-K row added to Formula Technical Reference</t>
  </si>
  <si>
    <t>Division I Teacher - K-3 Regular Education</t>
  </si>
  <si>
    <t>1 Position per 16.2 pupils</t>
  </si>
  <si>
    <t>K–3 regular education; districts and charter schools are eligible</t>
  </si>
  <si>
    <t>Formula Technical Reference!A3:K3</t>
  </si>
  <si>
    <t>Division I Teacher - 4-12 Regular Education</t>
  </si>
  <si>
    <t>1 Position per 20 pupils</t>
  </si>
  <si>
    <t>Grades 4–12 regular education; districts and charter schools are eligible</t>
  </si>
  <si>
    <t>Formula Technical Reference!A4:K4</t>
  </si>
  <si>
    <t>Division I Teacher - Basic Special Education</t>
  </si>
  <si>
    <t>Pre-K–12 Basic Special Education; districts and charter schools are eligible</t>
  </si>
  <si>
    <t>Formula Technical Reference!A5:K5</t>
  </si>
  <si>
    <t>14 Del. C. §1703(a)(4) — confirm Pre-K scope</t>
  </si>
  <si>
    <t>Division I Teacher - Intensive Special Education</t>
  </si>
  <si>
    <t>1 Position per 6 pupils</t>
  </si>
  <si>
    <t>Pre-K–12 Intensive Special Education; districts and charter schools are eligible</t>
  </si>
  <si>
    <t>Formula Technical Reference!A6:K6</t>
  </si>
  <si>
    <t>Division I Teacher - Complex Special Education</t>
  </si>
  <si>
    <t>1 Position per 2.6 pupils</t>
  </si>
  <si>
    <t>Pre-K–12 Complex Special Education; districts and charter schools are eligible</t>
  </si>
  <si>
    <t>Formula Technical Reference!A7:K7</t>
  </si>
  <si>
    <t>Opportunity Funding - Low Income</t>
  </si>
  <si>
    <t>Opportunity Funding - Multilingual Learner</t>
  </si>
  <si>
    <t>Operational Funding - Enrollment</t>
  </si>
  <si>
    <t>Operational Funding - Low Income</t>
  </si>
  <si>
    <t>Operational Funding - Multilingual Learner</t>
  </si>
  <si>
    <t>Operational Funding - Basic Special Education</t>
  </si>
  <si>
    <t>Operational Funding - Intensive Special Education</t>
  </si>
  <si>
    <t>Operational Funding - Complex Special Education</t>
  </si>
  <si>
    <t>Operational Funding - Vocational</t>
  </si>
  <si>
    <t>Hybrid Funding Model — Enrollment Weight Register</t>
  </si>
  <si>
    <t>This register separates old-model students-per-position divisors from new-model direct enrollment weights. It stores no enrollment values and calculates no funding dollars.</t>
  </si>
  <si>
    <t>Model Layer</t>
  </si>
  <si>
    <t>Enrollment Basis</t>
  </si>
  <si>
    <t>Parameter Type</t>
  </si>
  <si>
    <t>Rule Parameter</t>
  </si>
  <si>
    <t>Per-Student Multiplier</t>
  </si>
  <si>
    <t>Calculation Pattern</t>
  </si>
  <si>
    <t>Output</t>
  </si>
  <si>
    <t>Source / Interpretation Note</t>
  </si>
  <si>
    <t>Old model — Division I</t>
  </si>
  <si>
    <t>Pre-K</t>
  </si>
  <si>
    <t>Eligible Pre-K enrollment</t>
  </si>
  <si>
    <t>Students per position divisor</t>
  </si>
  <si>
    <t>Enrollment × per-student multiplier</t>
  </si>
  <si>
    <t>Positions / FTE</t>
  </si>
  <si>
    <t>New Rule Updates row 14; keep regular Pre-K separate from special-education populations</t>
  </si>
  <si>
    <t>Eligible K–3 regular education enrollment</t>
  </si>
  <si>
    <t>Eligible grades 4–12 regular education enrollment</t>
  </si>
  <si>
    <t>Basic Special Education enrollment, Pre-K–12</t>
  </si>
  <si>
    <t>14 Del. C. §1703(a)(4); confirm Pre-K scope</t>
  </si>
  <si>
    <t>Intensive Special Education enrollment, Pre-K–12</t>
  </si>
  <si>
    <t>Complex Special Education enrollment, Pre-K–12</t>
  </si>
  <si>
    <t>New model — Opportunity</t>
  </si>
  <si>
    <t>Low Income</t>
  </si>
  <si>
    <t>Low-income enrollment</t>
  </si>
  <si>
    <t>Direct weight</t>
  </si>
  <si>
    <t>Weighted enrollment units</t>
  </si>
  <si>
    <t>Multilingual Learner (MLL)</t>
  </si>
  <si>
    <t>MLL enrollment</t>
  </si>
  <si>
    <t>New model — Operational</t>
  </si>
  <si>
    <t>Enrollment</t>
  </si>
  <si>
    <t>Vocational</t>
  </si>
  <si>
    <t>Applicable vocational enrollment</t>
  </si>
  <si>
    <t>BR-PEFC-001</t>
  </si>
  <si>
    <t>Opportunity Funding — Low Income</t>
  </si>
  <si>
    <t>School and LEA</t>
  </si>
  <si>
    <t>All LEAs — districts and charter schools</t>
  </si>
  <si>
    <t>Weighted enrollment</t>
  </si>
  <si>
    <t># of LI Students Enrolled multiplied by the weight (0.675)</t>
  </si>
  <si>
    <t>weighted = li_enrollment * 0.675; base_rate = opportunity_pool / total_opportunity_weighted; funding = weighted * base_rate</t>
  </si>
  <si>
    <t>Continuous; no floor or cap</t>
  </si>
  <si>
    <t>Low-income enrollment; weight; adjusted Opportunity funding pool; total Opportunity weighted enrollment</t>
  </si>
  <si>
    <t>PEFC Decision / enrollment source TBD</t>
  </si>
  <si>
    <t>FY2025-26</t>
  </si>
  <si>
    <t>PEFC Decision</t>
  </si>
  <si>
    <t>N/A</t>
  </si>
  <si>
    <t>PEFC</t>
  </si>
  <si>
    <t>Business rule confirmed</t>
  </si>
  <si>
    <t>2026-07-22</t>
  </si>
  <si>
    <t>FY2025-26 PEFC statewide totals</t>
  </si>
  <si>
    <t>0 students → 0; 100 students → 67.5 weighted</t>
  </si>
  <si>
    <t>BR-PEFC-002</t>
  </si>
  <si>
    <t>Statewide enrollment 36,749; exact weighted count 24,805.575. Opportunity pool $163,000,000 plus 50% of Additional Funding.</t>
  </si>
  <si>
    <t>Opportunity Funding — Multilingual Learner</t>
  </si>
  <si>
    <t># of MLL Students Enrolled multiplied by the weight (0.470)</t>
  </si>
  <si>
    <t>weighted = mll_enrollment * 0.47; base_rate = opportunity_pool / total_opportunity_weighted; funding = weighted * base_rate</t>
  </si>
  <si>
    <t>MLL enrollment; weight; adjusted Opportunity funding pool; total Opportunity weighted enrollment</t>
  </si>
  <si>
    <t>0 students → 0; 100 students → 47 weighted</t>
  </si>
  <si>
    <t>Statewide enrollment 17,242; weighted count 8,103.74. Combined Opportunity weighted count 32,909.315; base rate $4,953.004947 ($4,953.00 displayed).</t>
  </si>
  <si>
    <t>BR-PEFC-003</t>
  </si>
  <si>
    <t>Operational Funding — Enrollment</t>
  </si>
  <si>
    <t># of Students Enrolled multiplied by the weight (0.200)</t>
  </si>
  <si>
    <t>weighted = total_enrollment * 0.200; base_rate = operational_pool / total_operational_weighted; funding = weighted * base_rate</t>
  </si>
  <si>
    <t>Total enrollment; weight; adjusted Operational funding pool; total Operational weighted enrollment</t>
  </si>
  <si>
    <t>0 students → 0; 100 students → 20 weighted</t>
  </si>
  <si>
    <t>BR-PEFC-004 through BR-PEFC-009</t>
  </si>
  <si>
    <t>Corrected rule: use total enrollment, not regular-education-only enrollment. Statewide enrollment 141,314; weighted count 28,262.80.</t>
  </si>
  <si>
    <t>BR-PEFC-004</t>
  </si>
  <si>
    <t>Operational Funding — Low Income</t>
  </si>
  <si>
    <t>weighted = li_enrollment * 0.675; funding = weighted * operational_base_rate</t>
  </si>
  <si>
    <t>Low-income enrollment; weight; Operational base rate</t>
  </si>
  <si>
    <t>BR-PEFC-003, BR-PEFC-005 through BR-PEFC-009</t>
  </si>
  <si>
    <t>Statewide enrollment 36,749; exact weighted count 24,805.575.</t>
  </si>
  <si>
    <t>BR-PEFC-005</t>
  </si>
  <si>
    <t>Operational Funding — Multilingual Learner</t>
  </si>
  <si>
    <t>weighted = mll_enrollment * 0.47; funding = weighted * operational_base_rate</t>
  </si>
  <si>
    <t>MLL enrollment; weight; Operational base rate</t>
  </si>
  <si>
    <t>BR-PEFC-003, BR-PEFC-004, BR-PEFC-006 through BR-PEFC-009</t>
  </si>
  <si>
    <t>Statewide enrollment 17,242; weighted count 8,103.74.</t>
  </si>
  <si>
    <t>BR-PEFC-006</t>
  </si>
  <si>
    <t>Operational Funding — Basic Special Education</t>
  </si>
  <si>
    <t># of Basic Special Education Students Enrolled multiplied by the weight (0.480)</t>
  </si>
  <si>
    <t>weighted = basic_sped_enrollment * 0.48; funding = weighted * operational_base_rate</t>
  </si>
  <si>
    <t>Basic Special Education Pre-K–12 enrollment; weight; Operational base rate</t>
  </si>
  <si>
    <t>0 students → 0; 100 students → 48 weighted</t>
  </si>
  <si>
    <t>BR-004; BR-PEFC-003 through BR-PEFC-005; BR-PEFC-007 through BR-PEFC-009</t>
  </si>
  <si>
    <t>New-model weight; does not replace old-model staffing divisor. Statewide enrollment 13,944; weighted count 6,693.12.</t>
  </si>
  <si>
    <t>BR-PEFC-007</t>
  </si>
  <si>
    <t>Operational Funding — Intensive Special Education</t>
  </si>
  <si>
    <t># of Intensive Special Education Students Enrolled multiplied by the weight (0.670)</t>
  </si>
  <si>
    <t>weighted = intensive_sped_enrollment * 0.67; funding = weighted * operational_base_rate</t>
  </si>
  <si>
    <t>Intensive Special Education Pre-K–12 enrollment; weight; Operational base rate</t>
  </si>
  <si>
    <t>0 students → 0; 100 students → 67 weighted</t>
  </si>
  <si>
    <t>BR-005; BR-PEFC-003 through BR-PEFC-006; BR-PEFC-008, BR-PEFC-009</t>
  </si>
  <si>
    <t>New-model weight; does not replace old-model staffing divisor. Statewide enrollment 6,933; weighted count 4,645.11.</t>
  </si>
  <si>
    <t>BR-PEFC-008</t>
  </si>
  <si>
    <t>Operational Funding — Complex Special Education</t>
  </si>
  <si>
    <t># of Complex Special Education Students Enrolled multiplied by the weight (1.540)</t>
  </si>
  <si>
    <t>weighted = complex_sped_enrollment * 1.54; funding = weighted * operational_base_rate</t>
  </si>
  <si>
    <t>Complex Special Education Pre-K–12 enrollment; weight; Operational base rate</t>
  </si>
  <si>
    <t>0 students → 0; 100 students → 154 weighted</t>
  </si>
  <si>
    <t>BR-006; BR-PEFC-003 through BR-PEFC-007; BR-PEFC-009</t>
  </si>
  <si>
    <t>New-model weight; does not replace old-model staffing divisor. Statewide enrollment 6,381; weighted count 9,826.74.</t>
  </si>
  <si>
    <t>BR-PEFC-009</t>
  </si>
  <si>
    <t>Operational Funding — Vocational</t>
  </si>
  <si>
    <t># of Vocational Students Enrolled multiplied by the weight (0.200)</t>
  </si>
  <si>
    <t>weighted = vocational_enrollment * 0.200; funding = weighted * operational_base_rate</t>
  </si>
  <si>
    <t>Vocational enrollment; weight; adjusted Operational pool; total Operational weighted enrollment</t>
  </si>
  <si>
    <t>BR-006 through BR-008; BR-PEFC-003 through BR-PEFC-008</t>
  </si>
  <si>
    <t>Statewide enrollment 18,249; weighted count 3,649.80. Combined Operational weighted count 85,986.885; pool $279,026,800 plus 50% of Additional Funding; base rate $3,244.992536 ($3,244.99 displayed).</t>
  </si>
  <si>
    <t>Weighted Enrollment</t>
  </si>
  <si>
    <t>Business rule: # of LI Students Enrolled multiplied by the weight (0.675).</t>
  </si>
  <si>
    <t>Calculate weighted enrollment as the number of LI Students Enrolled multiplied by the weight (0.675). Apply the applicable FY2025-26 PEFC base funding amount to the resulting weighted enrollment.</t>
  </si>
  <si>
    <t>PEFC Decision (policy source)</t>
  </si>
  <si>
    <t>FY2025-26 statewide enrollment: 36,749; exact weighted count: 24,805.575 (24,805.58 displayed). Opportunity pool: $163,000,000 plus 50% of Additional Funding.</t>
  </si>
  <si>
    <t>Business rule: # of MLL Students Enrolled multiplied by the weight (0.470).</t>
  </si>
  <si>
    <t>Calculate weighted enrollment as the number of MLL Students Enrolled multiplied by the weight (0.470). Apply the applicable FY2025-26 PEFC base funding amount to the resulting weighted enrollment.</t>
  </si>
  <si>
    <t>FY2025-26 statewide enrollment: 17,242; exact weighted count: 8,103.74. Total Opportunity weighted count: 32,909.315; computed base rate: $4,953.004947 ($4,953.00 displayed).</t>
  </si>
  <si>
    <t>Business rule: # of Students Enrolled multiplied by the weight (0.200).</t>
  </si>
  <si>
    <t>Calculate weighted enrollment as the number of Students Enrolled multiplied by the weight (0.200). Apply the applicable FY2025-26 PEFC base funding amount to the resulting weighted enrollment.</t>
  </si>
  <si>
    <t>CORRECTED: input population is total enrollment. FY2025-26 statewide enrollment: 141,314; weighted count: 28,262.80.</t>
  </si>
  <si>
    <t>FY2025-26 statewide enrollment: 36,749; exact weighted count: 24,805.575 (24,805.58 displayed).</t>
  </si>
  <si>
    <t>FY2025-26 statewide enrollment: 17,242; weighted count: 8,103.74.</t>
  </si>
  <si>
    <t>Business rule: # of Basic Special Education Students Enrolled multiplied by the weight (0.480).</t>
  </si>
  <si>
    <t>Calculate weighted enrollment as the number of Basic Special Education Students Enrolled multiplied by the weight (0.480). Apply the applicable FY2025-26 PEFC base funding amount to the resulting weighted enrollment.</t>
  </si>
  <si>
    <t>FY2025-26 statewide enrollment: 13,944; weighted count: 6,693.12.</t>
  </si>
  <si>
    <t>Business rule: # of Intensive Special Education Students Enrolled multiplied by the weight (0.670).</t>
  </si>
  <si>
    <t>Calculate weighted enrollment as the number of Intensive Special Education Students Enrolled multiplied by the weight (0.670). Apply the applicable FY2025-26 PEFC base funding amount to the resulting weighted enrollment.</t>
  </si>
  <si>
    <t>FY2025-26 statewide enrollment: 6,933; weighted count: 4,645.11.</t>
  </si>
  <si>
    <t>Business rule: # of Complex Special Education Students Enrolled multiplied by the weight (1.540).</t>
  </si>
  <si>
    <t>Calculate weighted enrollment as the number of Complex Special Education Students Enrolled multiplied by the weight (1.540). Apply the applicable FY2025-26 PEFC base funding amount to the resulting weighted enrollment.</t>
  </si>
  <si>
    <t>FY2025-26 statewide enrollment: 6,381; weighted count: 9,826.74.</t>
  </si>
  <si>
    <t>Business rule: # of Vocational Students Enrolled multiplied by the weight (0.200).</t>
  </si>
  <si>
    <t>Calculate weighted enrollment as the number of Vocational Students Enrolled multiplied by the weight (0.200). Apply the applicable FY2025-26 PEFC base funding amount to the resulting weighted enrollment.</t>
  </si>
  <si>
    <t>FY2025-26 statewide enrollment: 18,249; weighted count: 3,649.80. Total Operational weighted count: 85,986.885; pool: $279,026,800 plus 50% of Additional Funding; computed base rate: $3,244.992536 ($3,244.99 displayed).</t>
  </si>
  <si>
    <t>School and LEA level; all districts and charter schools are eligible</t>
  </si>
  <si>
    <t>Formula Technical Reference!A33:K33; Rule Register!A31:Y31</t>
  </si>
  <si>
    <t>Business rule confirmed — PEFC Decision</t>
  </si>
  <si>
    <t>Formula Technical Reference!A34:K34; Rule Register!A32:Y32</t>
  </si>
  <si>
    <t>School and LEA level; all districts and charter schools are eligible; use total student enrollment</t>
  </si>
  <si>
    <t>Formula Technical Reference!A35:K35; Rule Register!A33:Y33</t>
  </si>
  <si>
    <t>Formula Technical Reference!A36:K36; Rule Register!A34:Y34</t>
  </si>
  <si>
    <t>Formula Technical Reference!A37:K37; Rule Register!A35:Y35</t>
  </si>
  <si>
    <t>School and LEA level; all districts and charter schools are eligible; Basic Special Education students</t>
  </si>
  <si>
    <t>Formula Technical Reference!A38:K38; Rule Register!A36:Y36</t>
  </si>
  <si>
    <t>School and LEA level; all districts and charter schools are eligible; Intensive Special Education students</t>
  </si>
  <si>
    <t>Formula Technical Reference!A39:K39; Rule Register!A37:Y37</t>
  </si>
  <si>
    <t>School and LEA level; all districts and charter schools are eligible; Complex Special Education students</t>
  </si>
  <si>
    <t>Formula Technical Reference!A40:K40; Rule Register!A38:Y38</t>
  </si>
  <si>
    <t>School and LEA level; all districts and charter schools are eligible; Vocational students</t>
  </si>
  <si>
    <t>Formula Technical Reference!A41:K41; Rule Register!A39:Y39</t>
  </si>
  <si>
    <t>Total student enrollment</t>
  </si>
  <si>
    <t>PEFC Decision — FY2025–26 Statewide Weighted Funding</t>
  </si>
  <si>
    <t>Inputs supplied July 22, 2026. Weights reference the Weight Register; weighted counts, base rates, allocations, and reconciliations are formula-driven.</t>
  </si>
  <si>
    <t>Funding Pool Input</t>
  </si>
  <si>
    <t>Amount</t>
  </si>
  <si>
    <t>Opportunity Funding</t>
  </si>
  <si>
    <t>Operational Funding</t>
  </si>
  <si>
    <t>Additional Funding</t>
  </si>
  <si>
    <t>Opportunity share of Additional Funding</t>
  </si>
  <si>
    <t>Operational share of Additional Funding</t>
  </si>
  <si>
    <t>Adjusted Opportunity Funding Pool</t>
  </si>
  <si>
    <t>Adjusted Operational Funding Pool</t>
  </si>
  <si>
    <t>Population</t>
  </si>
  <si>
    <t>Weight</t>
  </si>
  <si>
    <t>Allocated Funding</t>
  </si>
  <si>
    <t>Total Weighted Count</t>
  </si>
  <si>
    <t>Base Funding Amount</t>
  </si>
  <si>
    <t>Reconciliation Variance</t>
  </si>
  <si>
    <t>Total Enrollment</t>
  </si>
  <si>
    <t>Basic Special Education — Pre-K–12</t>
  </si>
  <si>
    <t>Intensive Special Education — Pre-K–12</t>
  </si>
  <si>
    <t>Complex Special Education — Pre-K–12</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</si>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</sst>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
    <numFmt numFmtId="166" formatCode="0.0000"/>
  </numFmts>
  <fonts count="22" x14ac:knownFonts="1">
    <font>
      <sz val="11"/>
      <color theme="1"/>
      <name val="Aptos Narrow"/>
    </font>
    <font>
      <b/>
      <sz val="14"/>
      <color rgb="FF365F91"/>
      <name val="Calibri"/>
      <family val="2"/>
    </font>
    <font>
      <sz val="11"/>
      <color theme="1"/>
      <name val="Cambria"/>
      <family val="1"/>
    </font>
    <font>
      <b/>
      <sz val="11"/>
      <color theme="1"/>
      <name val="Cambria"/>
      <family val="1"/>
    </font>
    <font>
      <sz val="11"/>
      <color theme="10"/>
      <name val="Aptos Narrow"/>
      <family val="2"/>
    </font>
    <font>
      <b/>
      <sz val="14"/>
      <color theme="1"/>
      <name val="Aptos Narrow"/>
      <family val="2"/>
    </font>
    <font>
      <sz val="14"/>
      <color theme="1"/>
      <name val="Aptos Narrow"/>
      <family val="2"/>
    </font>
    <font>
      <sz val="14"/>
      <color theme="10"/>
      <name val="Aptos Narrow"/>
      <family val="2"/>
    </font>
    <font>
      <b/>
      <sz val="10"/>
      <color rgb="FFFFFFFF"/>
      <name val="Arial"/>
      <family val="2"/>
    </font>
    <font>
      <sz val="10"/>
      <name val="Arial"/>
      <family val="2"/>
    </font>
    <font>
      <b/>
      <sz val="13"/>
      <name val="Arial"/>
      <family val="2"/>
    </font>
    <font>
      <b/>
      <sz val="10"/>
      <color rgb="FF9A6400"/>
      <name val="Arial"/>
      <family val="2"/>
    </font>
    <font>
      <b/>
      <sz val="11"/>
      <name val="Arial"/>
      <family val="2"/>
    </font>
    <font>
      <b/>
      <sz val="10"/>
      <name val="Arial"/>
      <family val="2"/>
    </font>
    <font>
      <b/>
      <sz val="16"/>
      <color rgb="FFFFFFFF"/>
      <name val="Aptos Narrow"/>
      <family val="2"/>
    </font>
    <font>
      <i/>
      <sz val="11"/>
      <color rgb="FF1F1F1F"/>
      <name val="Aptos Narrow"/>
      <family val="2"/>
    </font>
    <font>
      <b/>
      <sz val="11"/>
      <color rgb="FFFFFFFF"/>
      <name val="Aptos Narrow"/>
      <family val="2"/>
    </font>
    <font>
      <sz val="11"/>
      <color rgb="FF7F6000"/>
      <name val="Aptos Narrow"/>
      <family val="2"/>
    </font>
    <font>
      <sz val="11"/>
      <color theme="1"/>
      <name val="Aptos Narrow"/>
      <family val="2"/>
    </font>
    <font>
      <b/>
      <sz val="11"/>
      <color rgb="FF375623"/>
      <name val="Aptos Narrow"/>
      <family val="2"/>
    </font>
    <font>
      <b/>
      <sz val="11"/>
      <color rgb="FF1F4E78"/>
      <name val="Aptos Narrow"/>
      <family val="2"/>
    </font>
    <font>
      <i/>
      <sz val="11"/>
      <color rgb="FF595959"/>
      <name val="Aptos Narrow"/>
      <family val="2"/>
    </font>
  </fonts>
  <fills count="21">
    <fill>
      <patternFill patternType="none"/>
    </fill>
    <fill>
      <patternFill patternType="gray125"/>
    </fill>
    <fill>
      <patternFill patternType="solid">
        <fgColor rgb="FFFFFF00"/>
      </patternFill>
    </fill>
    <fill>
      <patternFill patternType="solid">
        <fgColor rgb="FF12233F"/>
      </patternFill>
    </fill>
    <fill>
      <patternFill patternType="solid">
        <fgColor rgb="FFFFFF00"/>
      </patternFill>
    </fill>
    <fill>
      <patternFill patternType="solid">
        <fgColor rgb="FFFBE6E7"/>
      </patternFill>
    </fill>
    <fill>
      <patternFill patternType="solid">
        <fgColor rgb="FFEEEEEE"/>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F4E78"/>
      </patternFill>
    </fill>
    <fill>
      <patternFill patternType="solid">
        <fgColor rgb="FFD9EAF7"/>
      </patternFill>
    </fill>
    <fill>
      <patternFill patternType="solid">
        <fgColor rgb="FF4472C4"/>
      </patternFill>
    </fill>
    <fill>
      <patternFill patternType="solid">
        <fgColor rgb="FFE2F0D9"/>
      </patternFill>
    </fill>
    <fill>
      <patternFill patternType="solid">
        <fgColor rgb="FFFFFFFF"/>
      </patternFill>
    </fill>
    <fill>
      <patternFill patternType="solid">
        <fgColor rgb="FF1F4E78"/>
      </patternFill>
    </fill>
    <fill>
      <patternFill patternType="solid">
        <fgColor rgb="FFD9EAF7"/>
      </patternFill>
    </fill>
    <fill>
      <patternFill patternType="solid">
        <fgColor rgb="FF4472C4"/>
      </patternFill>
    </fill>
    <fill>
      <patternFill patternType="solid">
        <fgColor rgb="FFFFF2CC"/>
      </patternFill>
    </fill>
    <fill>
      <patternFill patternType="solid">
        <fgColor rgb="FFF2F2F2"/>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DDDDD"/>
      </left>
      <right style="thin">
        <color rgb="FFDDDDDD"/>
      </right>
      <top style="thin">
        <color rgb="FFDDDDDD"/>
      </top>
      <bottom style="thin">
        <color rgb="FFDDDDDD"/>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style="thin">
        <color indexed="64"/>
      </left>
      <right style="thin">
        <color indexed="64"/>
      </right>
      <top style="thin">
        <color indexed="64"/>
      </top>
      <bottom/>
      <diagonal/>
    </border>
    <border>
      <left/>
      <right/>
      <top/>
      <bottom style="medium">
        <color rgb="FF1F4E78"/>
      </bottom>
      <diagonal/>
    </border>
    <border>
      <left/>
      <right/>
      <top style="thin">
        <color rgb="FFD9E2F3"/>
      </top>
      <bottom/>
      <diagonal/>
    </border>
    <border>
      <left/>
      <right/>
      <top style="thin">
        <color rgb="FFA6A6A6"/>
      </top>
      <bottom style="thin">
        <color rgb="FFD9E2F3"/>
      </bottom>
      <diagonal/>
    </border>
  </borders>
  <cellStyleXfs count="2">
    <xf numFmtId="0" fontId="0" fillId="0" borderId="0"/>
    <xf numFmtId="0" fontId="4" fillId="0" borderId="0"/>
  </cellStyleXfs>
  <cellXfs count="101">
    <xf numFmtId="0" fontId="0" fillId="0" borderId="0" xfId="0"/>
    <xf numFmtId="0" fontId="0" fillId="0" borderId="1" xfId="0" applyBorder="1" applyAlignment="1">
      <alignment wrapText="1"/>
    </xf>
    <xf numFmtId="0" fontId="2"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wrapText="1"/>
    </xf>
    <xf numFmtId="0" fontId="0" fillId="0" borderId="0" xfId="0" applyAlignment="1">
      <alignment wrapText="1"/>
    </xf>
    <xf numFmtId="0" fontId="0" fillId="0" borderId="0" xfId="0" applyAlignment="1">
      <alignment vertical="center" wrapText="1"/>
    </xf>
    <xf numFmtId="0" fontId="0" fillId="2" borderId="1" xfId="0" applyFill="1" applyBorder="1" applyAlignment="1">
      <alignment vertical="center" wrapText="1"/>
    </xf>
    <xf numFmtId="0" fontId="6" fillId="0" borderId="0" xfId="0" applyFont="1" applyAlignment="1">
      <alignment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0" borderId="1" xfId="1" applyFont="1" applyBorder="1" applyAlignment="1">
      <alignment vertical="center" wrapText="1"/>
    </xf>
    <xf numFmtId="0" fontId="10" fillId="0" borderId="0" xfId="0" applyFont="1"/>
    <xf numFmtId="0" fontId="12" fillId="0" borderId="0" xfId="0" applyFont="1"/>
    <xf numFmtId="0" fontId="13" fillId="0" borderId="0" xfId="0" applyFont="1" applyAlignment="1">
      <alignment vertical="top" wrapText="1"/>
    </xf>
    <xf numFmtId="0" fontId="8" fillId="3" borderId="8" xfId="0" applyFont="1" applyFill="1" applyBorder="1" applyAlignment="1">
      <alignment horizontal="center" vertical="center" wrapText="1"/>
    </xf>
    <xf numFmtId="0" fontId="9" fillId="0" borderId="8" xfId="0" applyFont="1" applyBorder="1" applyAlignment="1">
      <alignment vertical="top" wrapText="1"/>
    </xf>
    <xf numFmtId="0" fontId="9" fillId="4" borderId="8" xfId="0" applyFont="1" applyFill="1" applyBorder="1" applyAlignment="1">
      <alignment vertical="top" wrapText="1"/>
    </xf>
    <xf numFmtId="0" fontId="9" fillId="5" borderId="8" xfId="0" applyFont="1" applyFill="1" applyBorder="1" applyAlignment="1">
      <alignment vertical="top" wrapText="1"/>
    </xf>
    <xf numFmtId="0" fontId="9" fillId="6" borderId="8" xfId="0" applyFont="1" applyFill="1" applyBorder="1" applyAlignment="1">
      <alignment vertical="top" wrapText="1"/>
    </xf>
    <xf numFmtId="0" fontId="16" fillId="9" borderId="9" xfId="0" applyFont="1" applyFill="1" applyBorder="1" applyAlignment="1">
      <alignment vertical="center" wrapText="1"/>
    </xf>
    <xf numFmtId="0" fontId="16" fillId="9" borderId="10" xfId="0" applyFont="1" applyFill="1" applyBorder="1" applyAlignment="1">
      <alignment vertical="center" wrapText="1"/>
    </xf>
    <xf numFmtId="0" fontId="16" fillId="9" borderId="11" xfId="0" applyFont="1" applyFill="1" applyBorder="1" applyAlignment="1">
      <alignment vertical="center"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17" fillId="10" borderId="12" xfId="0" applyFont="1" applyFill="1" applyBorder="1" applyAlignment="1">
      <alignment vertical="top" wrapText="1"/>
    </xf>
    <xf numFmtId="0" fontId="17" fillId="10" borderId="13" xfId="0" applyFont="1" applyFill="1" applyBorder="1" applyAlignment="1">
      <alignment vertical="top" wrapText="1"/>
    </xf>
    <xf numFmtId="0" fontId="17" fillId="10" borderId="14" xfId="0" applyFont="1" applyFill="1" applyBorder="1" applyAlignment="1">
      <alignment vertical="top" wrapText="1"/>
    </xf>
    <xf numFmtId="0" fontId="0" fillId="0" borderId="15" xfId="0" applyBorder="1" applyAlignment="1">
      <alignment vertical="center" wrapText="1"/>
    </xf>
    <xf numFmtId="0" fontId="0" fillId="0" borderId="15" xfId="0" applyBorder="1" applyAlignment="1">
      <alignment horizontal="center" vertical="center" wrapText="1"/>
    </xf>
    <xf numFmtId="0" fontId="18" fillId="0" borderId="15" xfId="0" applyFont="1" applyBorder="1" applyAlignment="1">
      <alignment horizontal="center" vertical="center" wrapText="1"/>
    </xf>
    <xf numFmtId="0" fontId="16" fillId="13" borderId="16" xfId="0" applyFont="1" applyFill="1" applyBorder="1" applyAlignment="1">
      <alignment vertical="center" wrapText="1"/>
    </xf>
    <xf numFmtId="0" fontId="0" fillId="0" borderId="17" xfId="0" applyBorder="1" applyAlignment="1">
      <alignment vertical="top" wrapText="1"/>
    </xf>
    <xf numFmtId="164" fontId="0" fillId="0" borderId="12" xfId="0" applyNumberFormat="1" applyBorder="1" applyAlignment="1">
      <alignment horizontal="right" vertical="top" wrapText="1"/>
    </xf>
    <xf numFmtId="164" fontId="0" fillId="0" borderId="13" xfId="0" applyNumberFormat="1" applyBorder="1" applyAlignment="1">
      <alignment horizontal="right" vertical="top" wrapText="1"/>
    </xf>
    <xf numFmtId="164" fontId="0" fillId="0" borderId="17" xfId="0" applyNumberFormat="1" applyBorder="1" applyAlignment="1">
      <alignment horizontal="right" vertical="top" wrapText="1"/>
    </xf>
    <xf numFmtId="0" fontId="18" fillId="0" borderId="13" xfId="0" applyFont="1" applyBorder="1" applyAlignment="1">
      <alignment vertical="top" wrapText="1"/>
    </xf>
    <xf numFmtId="0" fontId="0" fillId="0" borderId="0" xfId="0" applyAlignment="1">
      <alignment vertical="top" wrapText="1"/>
    </xf>
    <xf numFmtId="0" fontId="19" fillId="14" borderId="0" xfId="0" applyFont="1" applyFill="1" applyAlignment="1">
      <alignment vertical="top" wrapText="1"/>
    </xf>
    <xf numFmtId="0" fontId="0" fillId="15" borderId="0" xfId="0" applyFill="1" applyAlignment="1">
      <alignment vertical="top" wrapText="1"/>
    </xf>
    <xf numFmtId="0" fontId="19" fillId="14" borderId="12" xfId="0" applyFont="1" applyFill="1" applyBorder="1" applyAlignment="1">
      <alignment vertical="top" wrapText="1"/>
    </xf>
    <xf numFmtId="0" fontId="19" fillId="14" borderId="13" xfId="0" applyFont="1" applyFill="1" applyBorder="1" applyAlignment="1">
      <alignment vertical="top" wrapText="1"/>
    </xf>
    <xf numFmtId="0" fontId="0" fillId="15" borderId="13" xfId="0" applyFill="1" applyBorder="1" applyAlignment="1">
      <alignment vertical="top" wrapText="1"/>
    </xf>
    <xf numFmtId="164" fontId="0" fillId="15" borderId="13" xfId="0" applyNumberFormat="1" applyFill="1" applyBorder="1" applyAlignment="1">
      <alignment horizontal="right" vertical="top" wrapText="1"/>
    </xf>
    <xf numFmtId="0" fontId="19" fillId="14" borderId="17" xfId="0" applyFont="1" applyFill="1" applyBorder="1" applyAlignment="1">
      <alignment vertical="top" wrapText="1"/>
    </xf>
    <xf numFmtId="0" fontId="16" fillId="18" borderId="16" xfId="0" applyFont="1" applyFill="1" applyBorder="1" applyAlignment="1">
      <alignment vertical="center" wrapText="1"/>
    </xf>
    <xf numFmtId="0" fontId="0" fillId="0" borderId="12" xfId="0" applyBorder="1" applyAlignment="1">
      <alignment vertical="center" wrapText="1"/>
    </xf>
    <xf numFmtId="165" fontId="20" fillId="19" borderId="12" xfId="0" applyNumberFormat="1" applyFont="1" applyFill="1" applyBorder="1" applyAlignment="1">
      <alignment vertical="center" wrapText="1"/>
    </xf>
    <xf numFmtId="0" fontId="0" fillId="0" borderId="13" xfId="0" applyBorder="1" applyAlignment="1">
      <alignment vertical="center" wrapText="1"/>
    </xf>
    <xf numFmtId="165" fontId="20" fillId="19" borderId="13" xfId="0" applyNumberFormat="1" applyFont="1" applyFill="1" applyBorder="1" applyAlignment="1">
      <alignment vertical="center" wrapText="1"/>
    </xf>
    <xf numFmtId="165" fontId="0" fillId="0" borderId="13" xfId="0" applyNumberFormat="1" applyBorder="1" applyAlignment="1">
      <alignment vertical="center" wrapText="1"/>
    </xf>
    <xf numFmtId="0" fontId="0" fillId="0" borderId="17" xfId="0" applyBorder="1" applyAlignment="1">
      <alignment vertical="center" wrapText="1"/>
    </xf>
    <xf numFmtId="165" fontId="0" fillId="0" borderId="17" xfId="0" applyNumberFormat="1" applyBorder="1" applyAlignment="1">
      <alignment vertical="center" wrapText="1"/>
    </xf>
    <xf numFmtId="3" fontId="0" fillId="0" borderId="12" xfId="0" applyNumberFormat="1" applyBorder="1" applyAlignment="1">
      <alignment vertical="center" wrapText="1"/>
    </xf>
    <xf numFmtId="166" fontId="0" fillId="0" borderId="12" xfId="0" applyNumberFormat="1" applyBorder="1" applyAlignment="1">
      <alignment vertical="center" wrapText="1"/>
    </xf>
    <xf numFmtId="4" fontId="0" fillId="0" borderId="12" xfId="0" applyNumberFormat="1" applyBorder="1" applyAlignment="1">
      <alignment vertical="center" wrapText="1"/>
    </xf>
    <xf numFmtId="165" fontId="0" fillId="0" borderId="12" xfId="0" applyNumberFormat="1" applyBorder="1" applyAlignment="1">
      <alignment vertical="center" wrapText="1"/>
    </xf>
    <xf numFmtId="3" fontId="0" fillId="0" borderId="13" xfId="0" applyNumberFormat="1" applyBorder="1" applyAlignment="1">
      <alignment vertical="center" wrapText="1"/>
    </xf>
    <xf numFmtId="166" fontId="0" fillId="0" borderId="13" xfId="0" applyNumberFormat="1" applyBorder="1" applyAlignment="1">
      <alignment vertical="center" wrapText="1"/>
    </xf>
    <xf numFmtId="4" fontId="0" fillId="0" borderId="13" xfId="0" applyNumberFormat="1" applyBorder="1" applyAlignment="1">
      <alignment vertical="center" wrapText="1"/>
    </xf>
    <xf numFmtId="0" fontId="19" fillId="14" borderId="18" xfId="0" applyFont="1" applyFill="1" applyBorder="1" applyAlignment="1">
      <alignment vertical="center" wrapText="1"/>
    </xf>
    <xf numFmtId="4" fontId="19" fillId="14" borderId="18" xfId="0" applyNumberFormat="1" applyFont="1" applyFill="1" applyBorder="1" applyAlignment="1">
      <alignment vertical="center" wrapText="1"/>
    </xf>
    <xf numFmtId="165" fontId="19" fillId="14" borderId="18" xfId="0" applyNumberFormat="1" applyFont="1" applyFill="1" applyBorder="1" applyAlignment="1">
      <alignment vertical="center" wrapText="1"/>
    </xf>
    <xf numFmtId="0" fontId="19" fillId="14" borderId="13" xfId="0" applyFont="1" applyFill="1" applyBorder="1" applyAlignment="1">
      <alignment vertical="center" wrapText="1"/>
    </xf>
    <xf numFmtId="165" fontId="19" fillId="14" borderId="13" xfId="0" applyNumberFormat="1" applyFont="1" applyFill="1" applyBorder="1" applyAlignment="1">
      <alignment vertical="center" wrapText="1"/>
    </xf>
    <xf numFmtId="0" fontId="21" fillId="20" borderId="17" xfId="0" applyFont="1" applyFill="1" applyBorder="1" applyAlignment="1">
      <alignment vertical="center" wrapText="1"/>
    </xf>
    <xf numFmtId="165" fontId="21" fillId="20" borderId="17" xfId="0" applyNumberFormat="1" applyFont="1" applyFill="1" applyBorder="1" applyAlignment="1">
      <alignment vertical="center" wrapText="1"/>
    </xf>
    <xf numFmtId="0" fontId="9" fillId="0" borderId="0" xfId="0" applyFont="1" applyAlignment="1">
      <alignment vertical="top" wrapText="1"/>
    </xf>
    <xf numFmtId="0" fontId="0" fillId="0" borderId="0" xfId="0"/>
    <xf numFmtId="0" fontId="9" fillId="0" borderId="0" xfId="0" applyFont="1" applyAlignment="1">
      <alignment wrapText="1"/>
    </xf>
    <xf numFmtId="0" fontId="11" fillId="4" borderId="0" xfId="0" applyFont="1" applyFill="1" applyAlignment="1">
      <alignment vertical="center" wrapText="1"/>
    </xf>
    <xf numFmtId="0" fontId="5" fillId="0" borderId="2" xfId="0" applyFont="1" applyBorder="1" applyAlignment="1">
      <alignment horizontal="center" vertical="center" wrapText="1"/>
    </xf>
    <xf numFmtId="0" fontId="0" fillId="0" borderId="3" xfId="0" applyBorder="1"/>
    <xf numFmtId="0" fontId="1" fillId="0" borderId="1" xfId="0" applyFont="1" applyBorder="1" applyAlignment="1">
      <alignment horizontal="center" vertical="center" wrapText="1"/>
    </xf>
    <xf numFmtId="0" fontId="0" fillId="0" borderId="4" xfId="0" applyBorder="1"/>
    <xf numFmtId="0" fontId="0" fillId="0" borderId="5" xfId="0" applyBorder="1"/>
    <xf numFmtId="0" fontId="0" fillId="0" borderId="1" xfId="0" applyBorder="1" applyAlignment="1">
      <alignment horizontal="left" vertical="center" wrapText="1"/>
    </xf>
    <xf numFmtId="0" fontId="14" fillId="7" borderId="0" xfId="0" applyFont="1" applyFill="1" applyAlignment="1">
      <alignment vertical="center"/>
    </xf>
    <xf numFmtId="0" fontId="15" fillId="8" borderId="0" xfId="0" applyFont="1" applyFill="1" applyAlignment="1">
      <alignment vertical="center" wrapText="1"/>
    </xf>
    <xf numFmtId="0" fontId="16" fillId="11" borderId="0" xfId="0" applyFont="1" applyFill="1" applyAlignment="1">
      <alignment horizontal="left" vertical="center"/>
    </xf>
    <xf numFmtId="0" fontId="15" fillId="12" borderId="0" xfId="0" applyFont="1" applyFill="1" applyAlignment="1">
      <alignment vertical="center" wrapText="1"/>
    </xf>
    <xf numFmtId="0" fontId="16" fillId="16" borderId="0" xfId="0" applyFont="1" applyFill="1" applyAlignment="1">
      <alignment vertical="center"/>
    </xf>
    <xf numFmtId="0" fontId="15" fillId="17" borderId="0" xfId="0" applyFont="1" applyFill="1" applyAlignment="1">
      <alignment vertical="center" wrapText="1"/>
    </xf>
    <xf numFmtId="0" fontId="16" fillId="16" borderId="0" xfId="0" applyFont="1" applyFill="1" applyAlignment="1">
      <alignment vertical="center" wrapText="1"/>
    </xf>
    <xf numFmtId="0" fontId="18" fillId="0" borderId="15" xfId="0" applyFont="1" applyBorder="1" applyAlignment="1">
      <alignment wrapText="1"/>
    </xf>
    <xf numFmtId="0" fontId="0" fillId="0" borderId="15" xfId="0" applyBorder="1" applyAlignment="1">
      <alignment wrapText="1"/>
    </xf>
    <xf numFmtId="0" fontId="0" fillId="0" borderId="1" xfId="0" applyBorder="1" applyAlignment="1">
      <alignment vertical="top" wrapText="1"/>
    </xf>
    <xf numFmtId="0" fontId="18" fillId="0" borderId="0" xfId="0" applyFont="1" applyAlignment="1">
      <alignment wrapText="1"/>
    </xf>
    <xf numFmtId="0" fontId="0" fillId="0" borderId="6" xfId="0" applyBorder="1" applyAlignment="1">
      <alignment wrapText="1"/>
    </xf>
    <xf numFmtId="0" fontId="0" fillId="0" borderId="7" xfId="0" applyBorder="1" applyAlignment="1">
      <alignment wrapText="1"/>
    </xf>
    <xf numFmtId="0" fontId="19" fillId="0" borderId="12" xfId="0" applyFont="1" applyFill="1" applyBorder="1" applyAlignment="1">
      <alignment vertical="top" wrapText="1"/>
    </xf>
    <xf numFmtId="0" fontId="19" fillId="0" borderId="13" xfId="0" applyFont="1" applyFill="1" applyBorder="1" applyAlignment="1">
      <alignment vertical="top" wrapText="1"/>
    </xf>
    <xf numFmtId="0" fontId="19" fillId="0" borderId="14" xfId="0" applyFont="1" applyFill="1" applyBorder="1" applyAlignment="1">
      <alignment vertical="top"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legis.delaware.gov/BillDetail/1425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opLeftCell="A33" workbookViewId="0"/>
  </sheetViews>
  <sheetFormatPr defaultRowHeight="15" x14ac:dyDescent="0.25"/>
  <cols>
    <col min="1" max="1" width="22" customWidth="1"/>
    <col min="2" max="8" width="14" customWidth="1"/>
  </cols>
  <sheetData>
    <row r="1" spans="1:8" ht="16.5" x14ac:dyDescent="0.25">
      <c r="A1" s="19" t="s">
        <v>0</v>
      </c>
    </row>
    <row r="3" spans="1:8" x14ac:dyDescent="0.25">
      <c r="A3" s="77" t="s">
        <v>1</v>
      </c>
      <c r="B3" s="76"/>
      <c r="C3" s="76"/>
      <c r="D3" s="76"/>
      <c r="E3" s="76"/>
      <c r="F3" s="76"/>
      <c r="G3" s="76"/>
      <c r="H3" s="76"/>
    </row>
    <row r="4" spans="1:8" x14ac:dyDescent="0.25">
      <c r="A4" s="76"/>
      <c r="B4" s="76"/>
      <c r="C4" s="76"/>
      <c r="D4" s="76"/>
      <c r="E4" s="76"/>
      <c r="F4" s="76"/>
      <c r="G4" s="76"/>
      <c r="H4" s="76"/>
    </row>
    <row r="5" spans="1:8" x14ac:dyDescent="0.25">
      <c r="A5" s="76"/>
      <c r="B5" s="76"/>
      <c r="C5" s="76"/>
      <c r="D5" s="76"/>
      <c r="E5" s="76"/>
      <c r="F5" s="76"/>
      <c r="G5" s="76"/>
      <c r="H5" s="76"/>
    </row>
    <row r="7" spans="1:8" x14ac:dyDescent="0.25">
      <c r="A7" s="78" t="s">
        <v>2</v>
      </c>
      <c r="B7" s="76"/>
      <c r="C7" s="76"/>
      <c r="D7" s="76"/>
      <c r="E7" s="76"/>
      <c r="F7" s="76"/>
      <c r="G7" s="76"/>
      <c r="H7" s="76"/>
    </row>
    <row r="8" spans="1:8" x14ac:dyDescent="0.25">
      <c r="A8" s="76"/>
      <c r="B8" s="76"/>
      <c r="C8" s="76"/>
      <c r="D8" s="76"/>
      <c r="E8" s="76"/>
      <c r="F8" s="76"/>
      <c r="G8" s="76"/>
      <c r="H8" s="76"/>
    </row>
    <row r="10" spans="1:8" x14ac:dyDescent="0.25">
      <c r="A10" s="77" t="s">
        <v>3</v>
      </c>
      <c r="B10" s="76"/>
      <c r="C10" s="76"/>
      <c r="D10" s="76"/>
      <c r="E10" s="76"/>
      <c r="F10" s="76"/>
      <c r="G10" s="76"/>
      <c r="H10" s="76"/>
    </row>
    <row r="11" spans="1:8" x14ac:dyDescent="0.25">
      <c r="A11" s="76"/>
      <c r="B11" s="76"/>
      <c r="C11" s="76"/>
      <c r="D11" s="76"/>
      <c r="E11" s="76"/>
      <c r="F11" s="76"/>
      <c r="G11" s="76"/>
      <c r="H11" s="76"/>
    </row>
    <row r="13" spans="1:8" x14ac:dyDescent="0.25">
      <c r="A13" s="20" t="s">
        <v>4</v>
      </c>
    </row>
    <row r="15" spans="1:8" ht="45.95" customHeight="1" x14ac:dyDescent="0.25">
      <c r="A15" s="21" t="s">
        <v>5</v>
      </c>
      <c r="B15" s="75" t="s">
        <v>6</v>
      </c>
      <c r="C15" s="76"/>
      <c r="D15" s="76"/>
      <c r="E15" s="76"/>
      <c r="F15" s="76"/>
      <c r="G15" s="76"/>
      <c r="H15" s="76"/>
    </row>
    <row r="16" spans="1:8" ht="45.95" customHeight="1" x14ac:dyDescent="0.25">
      <c r="A16" s="21" t="s">
        <v>7</v>
      </c>
      <c r="B16" s="75" t="s">
        <v>8</v>
      </c>
      <c r="C16" s="76"/>
      <c r="D16" s="76"/>
      <c r="E16" s="76"/>
      <c r="F16" s="76"/>
      <c r="G16" s="76"/>
      <c r="H16" s="76"/>
    </row>
    <row r="17" spans="1:8" ht="45.95" customHeight="1" x14ac:dyDescent="0.25">
      <c r="A17" s="21" t="s">
        <v>9</v>
      </c>
      <c r="B17" s="75" t="s">
        <v>10</v>
      </c>
      <c r="C17" s="76"/>
      <c r="D17" s="76"/>
      <c r="E17" s="76"/>
      <c r="F17" s="76"/>
      <c r="G17" s="76"/>
      <c r="H17" s="76"/>
    </row>
    <row r="18" spans="1:8" ht="45.95" customHeight="1" x14ac:dyDescent="0.25">
      <c r="A18" s="21" t="s">
        <v>11</v>
      </c>
      <c r="B18" s="75" t="s">
        <v>12</v>
      </c>
      <c r="C18" s="76"/>
      <c r="D18" s="76"/>
      <c r="E18" s="76"/>
      <c r="F18" s="76"/>
      <c r="G18" s="76"/>
      <c r="H18" s="76"/>
    </row>
    <row r="19" spans="1:8" ht="45.95" customHeight="1" x14ac:dyDescent="0.25">
      <c r="A19" s="21" t="s">
        <v>13</v>
      </c>
      <c r="B19" s="75" t="s">
        <v>14</v>
      </c>
      <c r="C19" s="76"/>
      <c r="D19" s="76"/>
      <c r="E19" s="76"/>
      <c r="F19" s="76"/>
      <c r="G19" s="76"/>
      <c r="H19" s="76"/>
    </row>
    <row r="20" spans="1:8" ht="45.95" customHeight="1" x14ac:dyDescent="0.25">
      <c r="A20" s="21" t="s">
        <v>15</v>
      </c>
      <c r="B20" s="75" t="s">
        <v>16</v>
      </c>
      <c r="C20" s="76"/>
      <c r="D20" s="76"/>
      <c r="E20" s="76"/>
      <c r="F20" s="76"/>
      <c r="G20" s="76"/>
      <c r="H20" s="76"/>
    </row>
    <row r="21" spans="1:8" ht="45.95" customHeight="1" x14ac:dyDescent="0.25">
      <c r="A21" s="21" t="s">
        <v>17</v>
      </c>
      <c r="B21" s="75" t="s">
        <v>18</v>
      </c>
      <c r="C21" s="76"/>
      <c r="D21" s="76"/>
      <c r="E21" s="76"/>
      <c r="F21" s="76"/>
      <c r="G21" s="76"/>
      <c r="H21" s="76"/>
    </row>
    <row r="22" spans="1:8" ht="45.95" customHeight="1" x14ac:dyDescent="0.25">
      <c r="A22" s="21" t="s">
        <v>19</v>
      </c>
      <c r="B22" s="75" t="s">
        <v>20</v>
      </c>
      <c r="C22" s="76"/>
      <c r="D22" s="76"/>
      <c r="E22" s="76"/>
      <c r="F22" s="76"/>
      <c r="G22" s="76"/>
      <c r="H22" s="76"/>
    </row>
    <row r="23" spans="1:8" ht="45.95" customHeight="1" x14ac:dyDescent="0.25">
      <c r="A23" s="21" t="s">
        <v>21</v>
      </c>
      <c r="B23" s="75" t="s">
        <v>22</v>
      </c>
      <c r="C23" s="76"/>
      <c r="D23" s="76"/>
      <c r="E23" s="76"/>
      <c r="F23" s="76"/>
      <c r="G23" s="76"/>
      <c r="H23" s="76"/>
    </row>
    <row r="24" spans="1:8" ht="45.95" customHeight="1" x14ac:dyDescent="0.25">
      <c r="A24" s="21" t="s">
        <v>23</v>
      </c>
      <c r="B24" s="75" t="s">
        <v>24</v>
      </c>
      <c r="C24" s="76"/>
      <c r="D24" s="76"/>
      <c r="E24" s="76"/>
      <c r="F24" s="76"/>
      <c r="G24" s="76"/>
      <c r="H24" s="76"/>
    </row>
    <row r="25" spans="1:8" ht="45.95" customHeight="1" x14ac:dyDescent="0.25">
      <c r="A25" s="21" t="s">
        <v>25</v>
      </c>
      <c r="B25" s="75" t="s">
        <v>26</v>
      </c>
      <c r="C25" s="76"/>
      <c r="D25" s="76"/>
      <c r="E25" s="76"/>
      <c r="F25" s="76"/>
      <c r="G25" s="76"/>
      <c r="H25" s="76"/>
    </row>
    <row r="26" spans="1:8" ht="45.95" customHeight="1" x14ac:dyDescent="0.25">
      <c r="A26" s="21" t="s">
        <v>27</v>
      </c>
      <c r="B26" s="75" t="s">
        <v>28</v>
      </c>
      <c r="C26" s="76"/>
      <c r="D26" s="76"/>
      <c r="E26" s="76"/>
      <c r="F26" s="76"/>
      <c r="G26" s="76"/>
      <c r="H26" s="76"/>
    </row>
    <row r="27" spans="1:8" ht="45.95" customHeight="1" x14ac:dyDescent="0.25">
      <c r="A27" s="21" t="s">
        <v>29</v>
      </c>
      <c r="B27" s="75" t="s">
        <v>30</v>
      </c>
      <c r="C27" s="76"/>
      <c r="D27" s="76"/>
      <c r="E27" s="76"/>
      <c r="F27" s="76"/>
      <c r="G27" s="76"/>
      <c r="H27" s="76"/>
    </row>
    <row r="28" spans="1:8" ht="45.95" customHeight="1" x14ac:dyDescent="0.25">
      <c r="A28" s="21" t="s">
        <v>31</v>
      </c>
      <c r="B28" s="75" t="s">
        <v>32</v>
      </c>
      <c r="C28" s="76"/>
      <c r="D28" s="76"/>
      <c r="E28" s="76"/>
      <c r="F28" s="76"/>
      <c r="G28" s="76"/>
      <c r="H28" s="76"/>
    </row>
    <row r="29" spans="1:8" ht="45.95" customHeight="1" x14ac:dyDescent="0.25">
      <c r="A29" s="21" t="s">
        <v>33</v>
      </c>
      <c r="B29" s="75" t="s">
        <v>34</v>
      </c>
      <c r="C29" s="76"/>
      <c r="D29" s="76"/>
      <c r="E29" s="76"/>
      <c r="F29" s="76"/>
      <c r="G29" s="76"/>
      <c r="H29" s="76"/>
    </row>
    <row r="30" spans="1:8" ht="45.95" customHeight="1" x14ac:dyDescent="0.25">
      <c r="A30" s="21" t="s">
        <v>35</v>
      </c>
      <c r="B30" s="75" t="s">
        <v>36</v>
      </c>
      <c r="C30" s="76"/>
      <c r="D30" s="76"/>
      <c r="E30" s="76"/>
      <c r="F30" s="76"/>
      <c r="G30" s="76"/>
      <c r="H30" s="76"/>
    </row>
    <row r="31" spans="1:8" ht="45.95" customHeight="1" x14ac:dyDescent="0.25">
      <c r="A31" s="21" t="s">
        <v>37</v>
      </c>
      <c r="B31" s="75" t="s">
        <v>38</v>
      </c>
      <c r="C31" s="76"/>
      <c r="D31" s="76"/>
      <c r="E31" s="76"/>
      <c r="F31" s="76"/>
      <c r="G31" s="76"/>
      <c r="H31" s="76"/>
    </row>
    <row r="32" spans="1:8" ht="45.95" customHeight="1" x14ac:dyDescent="0.25">
      <c r="A32" s="21" t="s">
        <v>39</v>
      </c>
      <c r="B32" s="75" t="s">
        <v>40</v>
      </c>
      <c r="C32" s="76"/>
      <c r="D32" s="76"/>
      <c r="E32" s="76"/>
      <c r="F32" s="76"/>
      <c r="G32" s="76"/>
      <c r="H32" s="76"/>
    </row>
    <row r="33" spans="1:8" ht="45.95" customHeight="1" x14ac:dyDescent="0.25">
      <c r="A33" s="21" t="s">
        <v>41</v>
      </c>
      <c r="B33" s="75" t="s">
        <v>42</v>
      </c>
      <c r="C33" s="76"/>
      <c r="D33" s="76"/>
      <c r="E33" s="76"/>
      <c r="F33" s="76"/>
      <c r="G33" s="76"/>
      <c r="H33" s="76"/>
    </row>
    <row r="34" spans="1:8" ht="45.95" customHeight="1" x14ac:dyDescent="0.25">
      <c r="A34" s="21" t="s">
        <v>43</v>
      </c>
      <c r="B34" s="75" t="s">
        <v>44</v>
      </c>
      <c r="C34" s="76"/>
      <c r="D34" s="76"/>
      <c r="E34" s="76"/>
      <c r="F34" s="76"/>
      <c r="G34" s="76"/>
      <c r="H34" s="76"/>
    </row>
    <row r="36" spans="1:8" x14ac:dyDescent="0.25">
      <c r="A36" s="20" t="s">
        <v>45</v>
      </c>
    </row>
    <row r="37" spans="1:8" ht="39.950000000000003" customHeight="1" x14ac:dyDescent="0.25">
      <c r="A37" s="75" t="s">
        <v>46</v>
      </c>
      <c r="B37" s="76"/>
      <c r="C37" s="76"/>
      <c r="D37" s="76"/>
      <c r="E37" s="76"/>
      <c r="F37" s="76"/>
      <c r="G37" s="76"/>
      <c r="H37" s="76"/>
    </row>
    <row r="38" spans="1:8" ht="39.950000000000003" customHeight="1" x14ac:dyDescent="0.25">
      <c r="A38" s="75" t="s">
        <v>47</v>
      </c>
      <c r="B38" s="76"/>
      <c r="C38" s="76"/>
      <c r="D38" s="76"/>
      <c r="E38" s="76"/>
      <c r="F38" s="76"/>
      <c r="G38" s="76"/>
      <c r="H38" s="76"/>
    </row>
    <row r="39" spans="1:8" ht="39.950000000000003" customHeight="1" x14ac:dyDescent="0.25">
      <c r="A39" s="75" t="s">
        <v>48</v>
      </c>
      <c r="B39" s="76"/>
      <c r="C39" s="76"/>
      <c r="D39" s="76"/>
      <c r="E39" s="76"/>
      <c r="F39" s="76"/>
      <c r="G39" s="76"/>
      <c r="H39" s="76"/>
    </row>
    <row r="40" spans="1:8" ht="39.950000000000003" customHeight="1" x14ac:dyDescent="0.25">
      <c r="A40" s="75" t="s">
        <v>49</v>
      </c>
      <c r="B40" s="76"/>
      <c r="C40" s="76"/>
      <c r="D40" s="76"/>
      <c r="E40" s="76"/>
      <c r="F40" s="76"/>
      <c r="G40" s="76"/>
      <c r="H40" s="76"/>
    </row>
  </sheetData>
  <mergeCells count="27">
    <mergeCell ref="A40:H40"/>
    <mergeCell ref="A3:H5"/>
    <mergeCell ref="B21:H21"/>
    <mergeCell ref="B23:H23"/>
    <mergeCell ref="B17:H17"/>
    <mergeCell ref="A7:H8"/>
    <mergeCell ref="B19:H19"/>
    <mergeCell ref="A10:H11"/>
    <mergeCell ref="B16:H16"/>
    <mergeCell ref="B25:H25"/>
    <mergeCell ref="A37:H37"/>
    <mergeCell ref="B31:H31"/>
    <mergeCell ref="B22:H22"/>
    <mergeCell ref="B18:H18"/>
    <mergeCell ref="B27:H27"/>
    <mergeCell ref="B29:H29"/>
    <mergeCell ref="B34:H34"/>
    <mergeCell ref="B28:H28"/>
    <mergeCell ref="A39:H39"/>
    <mergeCell ref="B24:H24"/>
    <mergeCell ref="B30:H30"/>
    <mergeCell ref="A38:H38"/>
    <mergeCell ref="B15:H15"/>
    <mergeCell ref="B33:H33"/>
    <mergeCell ref="B20:H20"/>
    <mergeCell ref="B32:H32"/>
    <mergeCell ref="B26:H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9"/>
  <sheetViews>
    <sheetView topLeftCell="A35" workbookViewId="0"/>
  </sheetViews>
  <sheetFormatPr defaultRowHeight="15" x14ac:dyDescent="0.25"/>
  <cols>
    <col min="1" max="1" width="12" customWidth="1"/>
    <col min="2" max="2" width="24" customWidth="1"/>
    <col min="3" max="3" width="12" customWidth="1"/>
    <col min="4" max="4" width="20" customWidth="1"/>
    <col min="5" max="5" width="16" customWidth="1"/>
    <col min="6" max="7" width="34" customWidth="1"/>
    <col min="8" max="8" width="26" customWidth="1"/>
    <col min="9" max="9" width="10" customWidth="1"/>
    <col min="10" max="10" width="26" customWidth="1"/>
    <col min="11" max="11" width="18" customWidth="1"/>
    <col min="12" max="13" width="16" customWidth="1"/>
    <col min="14" max="14" width="20" customWidth="1"/>
    <col min="15" max="15" width="24" customWidth="1"/>
    <col min="16" max="16" width="18" customWidth="1"/>
    <col min="17" max="17" width="14" customWidth="1"/>
    <col min="18" max="18" width="16" customWidth="1"/>
    <col min="19" max="19" width="18" customWidth="1"/>
    <col min="20" max="20" width="14" customWidth="1"/>
    <col min="21" max="21" width="12" customWidth="1"/>
    <col min="22" max="22" width="24" customWidth="1"/>
    <col min="23" max="23" width="34" customWidth="1"/>
    <col min="24" max="24" width="14" customWidth="1"/>
    <col min="25" max="25" width="40" customWidth="1"/>
  </cols>
  <sheetData>
    <row r="1" spans="1:25" ht="33.950000000000003" customHeight="1" x14ac:dyDescent="0.25">
      <c r="A1" s="22" t="s">
        <v>5</v>
      </c>
      <c r="B1" s="22" t="s">
        <v>50</v>
      </c>
      <c r="C1" s="22" t="s">
        <v>7</v>
      </c>
      <c r="D1" s="22" t="s">
        <v>9</v>
      </c>
      <c r="E1" s="22" t="s">
        <v>11</v>
      </c>
      <c r="F1" s="22" t="s">
        <v>13</v>
      </c>
      <c r="G1" s="22" t="s">
        <v>15</v>
      </c>
      <c r="H1" s="22" t="s">
        <v>17</v>
      </c>
      <c r="I1" s="22" t="s">
        <v>19</v>
      </c>
      <c r="J1" s="22" t="s">
        <v>21</v>
      </c>
      <c r="K1" s="22" t="s">
        <v>51</v>
      </c>
      <c r="L1" s="22" t="s">
        <v>52</v>
      </c>
      <c r="M1" s="22" t="s">
        <v>53</v>
      </c>
      <c r="N1" s="22" t="s">
        <v>54</v>
      </c>
      <c r="O1" s="22" t="s">
        <v>55</v>
      </c>
      <c r="P1" s="22" t="s">
        <v>27</v>
      </c>
      <c r="Q1" s="22" t="s">
        <v>29</v>
      </c>
      <c r="R1" s="22" t="s">
        <v>56</v>
      </c>
      <c r="S1" s="22" t="s">
        <v>57</v>
      </c>
      <c r="T1" s="22" t="s">
        <v>33</v>
      </c>
      <c r="U1" s="22" t="s">
        <v>35</v>
      </c>
      <c r="V1" s="22" t="s">
        <v>37</v>
      </c>
      <c r="W1" s="22" t="s">
        <v>39</v>
      </c>
      <c r="X1" s="22" t="s">
        <v>41</v>
      </c>
      <c r="Y1" s="22" t="s">
        <v>43</v>
      </c>
    </row>
    <row r="2" spans="1:25" ht="60" customHeight="1" x14ac:dyDescent="0.25">
      <c r="A2" s="23" t="s">
        <v>58</v>
      </c>
      <c r="B2" s="23" t="s">
        <v>59</v>
      </c>
      <c r="C2" s="23" t="s">
        <v>60</v>
      </c>
      <c r="D2" s="23" t="s">
        <v>61</v>
      </c>
      <c r="E2" s="23" t="s">
        <v>62</v>
      </c>
      <c r="F2" s="23" t="s">
        <v>63</v>
      </c>
      <c r="G2" s="23" t="s">
        <v>64</v>
      </c>
      <c r="H2" s="23" t="s">
        <v>65</v>
      </c>
      <c r="I2" s="23"/>
      <c r="J2" s="23" t="s">
        <v>66</v>
      </c>
      <c r="K2" s="23" t="s">
        <v>67</v>
      </c>
      <c r="L2" s="23" t="s">
        <v>68</v>
      </c>
      <c r="M2" s="24" t="s">
        <v>69</v>
      </c>
      <c r="N2" s="23" t="s">
        <v>70</v>
      </c>
      <c r="O2" s="23" t="s">
        <v>71</v>
      </c>
      <c r="P2" s="24" t="s">
        <v>69</v>
      </c>
      <c r="Q2" s="24" t="s">
        <v>69</v>
      </c>
      <c r="R2" s="24" t="s">
        <v>69</v>
      </c>
      <c r="S2" s="24" t="s">
        <v>69</v>
      </c>
      <c r="T2" s="23" t="s">
        <v>72</v>
      </c>
      <c r="U2" s="24" t="s">
        <v>69</v>
      </c>
      <c r="V2" s="23"/>
      <c r="W2" s="23" t="s">
        <v>73</v>
      </c>
      <c r="X2" s="23"/>
      <c r="Y2" s="23" t="s">
        <v>74</v>
      </c>
    </row>
    <row r="3" spans="1:25" ht="60" customHeight="1" x14ac:dyDescent="0.25">
      <c r="A3" s="23" t="s">
        <v>75</v>
      </c>
      <c r="B3" s="23" t="s">
        <v>76</v>
      </c>
      <c r="C3" s="23" t="s">
        <v>60</v>
      </c>
      <c r="D3" s="23" t="s">
        <v>61</v>
      </c>
      <c r="E3" s="23" t="s">
        <v>62</v>
      </c>
      <c r="F3" s="23" t="s">
        <v>77</v>
      </c>
      <c r="G3" s="23" t="s">
        <v>78</v>
      </c>
      <c r="H3" s="23" t="s">
        <v>65</v>
      </c>
      <c r="I3" s="23"/>
      <c r="J3" s="23" t="s">
        <v>79</v>
      </c>
      <c r="K3" s="23" t="s">
        <v>67</v>
      </c>
      <c r="L3" s="23" t="s">
        <v>68</v>
      </c>
      <c r="M3" s="24" t="s">
        <v>69</v>
      </c>
      <c r="N3" s="23" t="s">
        <v>80</v>
      </c>
      <c r="O3" s="23" t="s">
        <v>71</v>
      </c>
      <c r="P3" s="24" t="s">
        <v>69</v>
      </c>
      <c r="Q3" s="24" t="s">
        <v>69</v>
      </c>
      <c r="R3" s="24" t="s">
        <v>69</v>
      </c>
      <c r="S3" s="24" t="s">
        <v>69</v>
      </c>
      <c r="T3" s="23" t="s">
        <v>72</v>
      </c>
      <c r="U3" s="24" t="s">
        <v>69</v>
      </c>
      <c r="V3" s="23"/>
      <c r="W3" s="23" t="s">
        <v>81</v>
      </c>
      <c r="X3" s="23"/>
      <c r="Y3" s="23" t="s">
        <v>82</v>
      </c>
    </row>
    <row r="4" spans="1:25" ht="60" customHeight="1" x14ac:dyDescent="0.25">
      <c r="A4" s="23" t="s">
        <v>83</v>
      </c>
      <c r="B4" s="23" t="s">
        <v>84</v>
      </c>
      <c r="C4" s="23" t="s">
        <v>60</v>
      </c>
      <c r="D4" s="23" t="s">
        <v>61</v>
      </c>
      <c r="E4" s="23" t="s">
        <v>62</v>
      </c>
      <c r="F4" s="23" t="s">
        <v>85</v>
      </c>
      <c r="G4" s="23" t="s">
        <v>86</v>
      </c>
      <c r="H4" s="23" t="s">
        <v>65</v>
      </c>
      <c r="I4" s="23"/>
      <c r="J4" s="23" t="s">
        <v>87</v>
      </c>
      <c r="K4" s="23" t="s">
        <v>67</v>
      </c>
      <c r="L4" s="23" t="s">
        <v>68</v>
      </c>
      <c r="M4" s="24" t="s">
        <v>69</v>
      </c>
      <c r="N4" s="23" t="s">
        <v>88</v>
      </c>
      <c r="O4" s="23" t="s">
        <v>71</v>
      </c>
      <c r="P4" s="24" t="s">
        <v>69</v>
      </c>
      <c r="Q4" s="24" t="s">
        <v>69</v>
      </c>
      <c r="R4" s="24" t="s">
        <v>69</v>
      </c>
      <c r="S4" s="24" t="s">
        <v>69</v>
      </c>
      <c r="T4" s="23" t="s">
        <v>72</v>
      </c>
      <c r="U4" s="24" t="s">
        <v>69</v>
      </c>
      <c r="V4" s="23"/>
      <c r="W4" s="23"/>
      <c r="X4" s="23"/>
      <c r="Y4" s="23" t="s">
        <v>89</v>
      </c>
    </row>
    <row r="5" spans="1:25" ht="60" customHeight="1" x14ac:dyDescent="0.25">
      <c r="A5" s="23" t="s">
        <v>90</v>
      </c>
      <c r="B5" s="23" t="s">
        <v>91</v>
      </c>
      <c r="C5" s="23" t="s">
        <v>60</v>
      </c>
      <c r="D5" s="23" t="s">
        <v>61</v>
      </c>
      <c r="E5" s="23" t="s">
        <v>62</v>
      </c>
      <c r="F5" s="23" t="s">
        <v>92</v>
      </c>
      <c r="G5" s="23" t="s">
        <v>93</v>
      </c>
      <c r="H5" s="23" t="s">
        <v>65</v>
      </c>
      <c r="I5" s="23"/>
      <c r="J5" s="23" t="s">
        <v>94</v>
      </c>
      <c r="K5" s="23" t="s">
        <v>67</v>
      </c>
      <c r="L5" s="23" t="s">
        <v>68</v>
      </c>
      <c r="M5" s="24" t="s">
        <v>69</v>
      </c>
      <c r="N5" s="23" t="s">
        <v>95</v>
      </c>
      <c r="O5" s="23" t="s">
        <v>71</v>
      </c>
      <c r="P5" s="24" t="s">
        <v>69</v>
      </c>
      <c r="Q5" s="24" t="s">
        <v>69</v>
      </c>
      <c r="R5" s="24" t="s">
        <v>69</v>
      </c>
      <c r="S5" s="24" t="s">
        <v>69</v>
      </c>
      <c r="T5" s="23" t="s">
        <v>72</v>
      </c>
      <c r="U5" s="24" t="s">
        <v>69</v>
      </c>
      <c r="V5" s="23"/>
      <c r="W5" s="23"/>
      <c r="X5" s="23"/>
      <c r="Y5" s="23" t="s">
        <v>96</v>
      </c>
    </row>
    <row r="6" spans="1:25" ht="60" customHeight="1" x14ac:dyDescent="0.25">
      <c r="A6" s="23" t="s">
        <v>97</v>
      </c>
      <c r="B6" s="23" t="s">
        <v>98</v>
      </c>
      <c r="C6" s="23" t="s">
        <v>60</v>
      </c>
      <c r="D6" s="23" t="s">
        <v>61</v>
      </c>
      <c r="E6" s="23" t="s">
        <v>62</v>
      </c>
      <c r="F6" s="23" t="s">
        <v>99</v>
      </c>
      <c r="G6" s="23" t="s">
        <v>100</v>
      </c>
      <c r="H6" s="23" t="s">
        <v>65</v>
      </c>
      <c r="I6" s="23"/>
      <c r="J6" s="23" t="s">
        <v>101</v>
      </c>
      <c r="K6" s="23" t="s">
        <v>67</v>
      </c>
      <c r="L6" s="23" t="s">
        <v>68</v>
      </c>
      <c r="M6" s="24" t="s">
        <v>69</v>
      </c>
      <c r="N6" s="23" t="s">
        <v>102</v>
      </c>
      <c r="O6" s="23" t="s">
        <v>71</v>
      </c>
      <c r="P6" s="24" t="s">
        <v>69</v>
      </c>
      <c r="Q6" s="24" t="s">
        <v>69</v>
      </c>
      <c r="R6" s="24" t="s">
        <v>69</v>
      </c>
      <c r="S6" s="24" t="s">
        <v>69</v>
      </c>
      <c r="T6" s="23" t="s">
        <v>72</v>
      </c>
      <c r="U6" s="24" t="s">
        <v>69</v>
      </c>
      <c r="V6" s="23"/>
      <c r="W6" s="23"/>
      <c r="X6" s="23"/>
      <c r="Y6" s="23" t="s">
        <v>103</v>
      </c>
    </row>
    <row r="7" spans="1:25" ht="60" customHeight="1" x14ac:dyDescent="0.25">
      <c r="A7" s="23" t="s">
        <v>104</v>
      </c>
      <c r="B7" s="23" t="s">
        <v>105</v>
      </c>
      <c r="C7" s="23" t="s">
        <v>60</v>
      </c>
      <c r="D7" s="23" t="s">
        <v>106</v>
      </c>
      <c r="E7" s="23" t="s">
        <v>62</v>
      </c>
      <c r="F7" s="23" t="s">
        <v>107</v>
      </c>
      <c r="G7" s="23" t="s">
        <v>108</v>
      </c>
      <c r="H7" s="23" t="s">
        <v>65</v>
      </c>
      <c r="I7" s="23"/>
      <c r="J7" s="23" t="s">
        <v>109</v>
      </c>
      <c r="K7" s="23" t="s">
        <v>67</v>
      </c>
      <c r="L7" s="23" t="s">
        <v>68</v>
      </c>
      <c r="M7" s="24" t="s">
        <v>69</v>
      </c>
      <c r="N7" s="23" t="s">
        <v>110</v>
      </c>
      <c r="O7" s="23" t="s">
        <v>71</v>
      </c>
      <c r="P7" s="24" t="s">
        <v>69</v>
      </c>
      <c r="Q7" s="24" t="s">
        <v>69</v>
      </c>
      <c r="R7" s="24" t="s">
        <v>69</v>
      </c>
      <c r="S7" s="24" t="s">
        <v>69</v>
      </c>
      <c r="T7" s="23" t="s">
        <v>72</v>
      </c>
      <c r="U7" s="24" t="s">
        <v>69</v>
      </c>
      <c r="V7" s="23"/>
      <c r="W7" s="23"/>
      <c r="X7" s="23" t="s">
        <v>111</v>
      </c>
      <c r="Y7" s="23" t="s">
        <v>112</v>
      </c>
    </row>
    <row r="8" spans="1:25" ht="60" customHeight="1" x14ac:dyDescent="0.25">
      <c r="A8" s="23" t="s">
        <v>113</v>
      </c>
      <c r="B8" s="23" t="s">
        <v>114</v>
      </c>
      <c r="C8" s="23" t="s">
        <v>60</v>
      </c>
      <c r="D8" s="23" t="s">
        <v>61</v>
      </c>
      <c r="E8" s="23" t="s">
        <v>62</v>
      </c>
      <c r="F8" s="23" t="s">
        <v>115</v>
      </c>
      <c r="G8" s="23" t="s">
        <v>116</v>
      </c>
      <c r="H8" s="23" t="s">
        <v>117</v>
      </c>
      <c r="I8" s="23"/>
      <c r="J8" s="23" t="s">
        <v>118</v>
      </c>
      <c r="K8" s="23" t="s">
        <v>67</v>
      </c>
      <c r="L8" s="23" t="s">
        <v>68</v>
      </c>
      <c r="M8" s="24" t="s">
        <v>69</v>
      </c>
      <c r="N8" s="23" t="s">
        <v>119</v>
      </c>
      <c r="O8" s="23" t="s">
        <v>71</v>
      </c>
      <c r="P8" s="24" t="s">
        <v>69</v>
      </c>
      <c r="Q8" s="24" t="s">
        <v>69</v>
      </c>
      <c r="R8" s="24" t="s">
        <v>69</v>
      </c>
      <c r="S8" s="24" t="s">
        <v>69</v>
      </c>
      <c r="T8" s="23" t="s">
        <v>72</v>
      </c>
      <c r="U8" s="24" t="s">
        <v>69</v>
      </c>
      <c r="V8" s="23"/>
      <c r="W8" s="23"/>
      <c r="X8" s="23" t="s">
        <v>120</v>
      </c>
      <c r="Y8" s="23"/>
    </row>
    <row r="9" spans="1:25" ht="60" customHeight="1" x14ac:dyDescent="0.25">
      <c r="A9" s="23" t="s">
        <v>121</v>
      </c>
      <c r="B9" s="23" t="s">
        <v>122</v>
      </c>
      <c r="C9" s="23" t="s">
        <v>60</v>
      </c>
      <c r="D9" s="23" t="s">
        <v>123</v>
      </c>
      <c r="E9" s="23" t="s">
        <v>62</v>
      </c>
      <c r="F9" s="23" t="s">
        <v>124</v>
      </c>
      <c r="G9" s="23" t="s">
        <v>125</v>
      </c>
      <c r="H9" s="23" t="s">
        <v>126</v>
      </c>
      <c r="I9" s="23"/>
      <c r="J9" s="23" t="s">
        <v>127</v>
      </c>
      <c r="K9" s="23" t="s">
        <v>67</v>
      </c>
      <c r="L9" s="23" t="s">
        <v>68</v>
      </c>
      <c r="M9" s="24" t="s">
        <v>69</v>
      </c>
      <c r="N9" s="23" t="s">
        <v>128</v>
      </c>
      <c r="O9" s="23" t="s">
        <v>71</v>
      </c>
      <c r="P9" s="24" t="s">
        <v>69</v>
      </c>
      <c r="Q9" s="24" t="s">
        <v>69</v>
      </c>
      <c r="R9" s="24" t="s">
        <v>69</v>
      </c>
      <c r="S9" s="24" t="s">
        <v>69</v>
      </c>
      <c r="T9" s="23" t="s">
        <v>72</v>
      </c>
      <c r="U9" s="24" t="s">
        <v>69</v>
      </c>
      <c r="V9" s="23"/>
      <c r="W9" s="23"/>
      <c r="X9" s="23" t="s">
        <v>129</v>
      </c>
      <c r="Y9" s="23"/>
    </row>
    <row r="10" spans="1:25" ht="60" customHeight="1" x14ac:dyDescent="0.25">
      <c r="A10" s="23" t="s">
        <v>130</v>
      </c>
      <c r="B10" s="23" t="s">
        <v>131</v>
      </c>
      <c r="C10" s="23" t="s">
        <v>132</v>
      </c>
      <c r="D10" s="23" t="s">
        <v>61</v>
      </c>
      <c r="E10" s="23" t="s">
        <v>133</v>
      </c>
      <c r="F10" s="23" t="s">
        <v>134</v>
      </c>
      <c r="G10" s="23" t="s">
        <v>135</v>
      </c>
      <c r="H10" s="23" t="s">
        <v>136</v>
      </c>
      <c r="I10" s="23" t="s">
        <v>137</v>
      </c>
      <c r="J10" s="23" t="s">
        <v>138</v>
      </c>
      <c r="K10" s="23" t="s">
        <v>139</v>
      </c>
      <c r="L10" s="23" t="s">
        <v>68</v>
      </c>
      <c r="M10" s="24" t="s">
        <v>69</v>
      </c>
      <c r="N10" s="23" t="s">
        <v>140</v>
      </c>
      <c r="O10" s="23" t="s">
        <v>141</v>
      </c>
      <c r="P10" s="24" t="s">
        <v>69</v>
      </c>
      <c r="Q10" s="24" t="s">
        <v>69</v>
      </c>
      <c r="R10" s="24" t="s">
        <v>69</v>
      </c>
      <c r="S10" s="24" t="s">
        <v>69</v>
      </c>
      <c r="T10" s="23" t="s">
        <v>72</v>
      </c>
      <c r="U10" s="24" t="s">
        <v>69</v>
      </c>
      <c r="V10" s="23"/>
      <c r="W10" s="23" t="s">
        <v>142</v>
      </c>
      <c r="X10" s="23" t="s">
        <v>143</v>
      </c>
      <c r="Y10" s="23" t="s">
        <v>144</v>
      </c>
    </row>
    <row r="11" spans="1:25" ht="60" customHeight="1" x14ac:dyDescent="0.25">
      <c r="A11" s="23" t="s">
        <v>143</v>
      </c>
      <c r="B11" s="23" t="s">
        <v>145</v>
      </c>
      <c r="C11" s="23" t="s">
        <v>60</v>
      </c>
      <c r="D11" s="23" t="s">
        <v>61</v>
      </c>
      <c r="E11" s="23" t="s">
        <v>146</v>
      </c>
      <c r="F11" s="23" t="s">
        <v>147</v>
      </c>
      <c r="G11" s="23" t="s">
        <v>148</v>
      </c>
      <c r="H11" s="23" t="s">
        <v>149</v>
      </c>
      <c r="I11" s="23"/>
      <c r="J11" s="23" t="s">
        <v>150</v>
      </c>
      <c r="K11" s="23" t="s">
        <v>139</v>
      </c>
      <c r="L11" s="23" t="s">
        <v>68</v>
      </c>
      <c r="M11" s="24" t="s">
        <v>69</v>
      </c>
      <c r="N11" s="23" t="s">
        <v>151</v>
      </c>
      <c r="O11" s="23" t="s">
        <v>141</v>
      </c>
      <c r="P11" s="24" t="s">
        <v>69</v>
      </c>
      <c r="Q11" s="24" t="s">
        <v>69</v>
      </c>
      <c r="R11" s="24" t="s">
        <v>69</v>
      </c>
      <c r="S11" s="24" t="s">
        <v>69</v>
      </c>
      <c r="T11" s="23" t="s">
        <v>72</v>
      </c>
      <c r="U11" s="24" t="s">
        <v>69</v>
      </c>
      <c r="V11" s="23"/>
      <c r="W11" s="23"/>
      <c r="X11" s="23" t="s">
        <v>130</v>
      </c>
      <c r="Y11" s="23" t="s">
        <v>152</v>
      </c>
    </row>
    <row r="12" spans="1:25" ht="60" customHeight="1" x14ac:dyDescent="0.25">
      <c r="A12" s="23" t="s">
        <v>153</v>
      </c>
      <c r="B12" s="23" t="s">
        <v>154</v>
      </c>
      <c r="C12" s="23" t="s">
        <v>60</v>
      </c>
      <c r="D12" s="23" t="s">
        <v>61</v>
      </c>
      <c r="E12" s="23" t="s">
        <v>133</v>
      </c>
      <c r="F12" s="23" t="s">
        <v>155</v>
      </c>
      <c r="G12" s="23" t="s">
        <v>156</v>
      </c>
      <c r="H12" s="23" t="s">
        <v>157</v>
      </c>
      <c r="I12" s="23"/>
      <c r="J12" s="23" t="s">
        <v>158</v>
      </c>
      <c r="K12" s="23" t="s">
        <v>139</v>
      </c>
      <c r="L12" s="23" t="s">
        <v>68</v>
      </c>
      <c r="M12" s="24" t="s">
        <v>69</v>
      </c>
      <c r="N12" s="23" t="s">
        <v>159</v>
      </c>
      <c r="O12" s="23" t="s">
        <v>141</v>
      </c>
      <c r="P12" s="24" t="s">
        <v>69</v>
      </c>
      <c r="Q12" s="24" t="s">
        <v>69</v>
      </c>
      <c r="R12" s="24" t="s">
        <v>69</v>
      </c>
      <c r="S12" s="24" t="s">
        <v>69</v>
      </c>
      <c r="T12" s="23" t="s">
        <v>72</v>
      </c>
      <c r="U12" s="24" t="s">
        <v>69</v>
      </c>
      <c r="V12" s="23"/>
      <c r="W12" s="23" t="s">
        <v>160</v>
      </c>
      <c r="X12" s="23" t="s">
        <v>161</v>
      </c>
      <c r="Y12" s="23" t="s">
        <v>162</v>
      </c>
    </row>
    <row r="13" spans="1:25" ht="60" customHeight="1" x14ac:dyDescent="0.25">
      <c r="A13" s="23" t="s">
        <v>161</v>
      </c>
      <c r="B13" s="23" t="s">
        <v>163</v>
      </c>
      <c r="C13" s="23" t="s">
        <v>60</v>
      </c>
      <c r="D13" s="23" t="s">
        <v>61</v>
      </c>
      <c r="E13" s="23" t="s">
        <v>146</v>
      </c>
      <c r="F13" s="23" t="s">
        <v>164</v>
      </c>
      <c r="G13" s="23" t="s">
        <v>165</v>
      </c>
      <c r="H13" s="23" t="s">
        <v>149</v>
      </c>
      <c r="I13" s="23"/>
      <c r="J13" s="23" t="s">
        <v>166</v>
      </c>
      <c r="K13" s="23" t="s">
        <v>139</v>
      </c>
      <c r="L13" s="23" t="s">
        <v>68</v>
      </c>
      <c r="M13" s="24" t="s">
        <v>69</v>
      </c>
      <c r="N13" s="23" t="s">
        <v>159</v>
      </c>
      <c r="O13" s="23" t="s">
        <v>141</v>
      </c>
      <c r="P13" s="24" t="s">
        <v>69</v>
      </c>
      <c r="Q13" s="24" t="s">
        <v>69</v>
      </c>
      <c r="R13" s="24" t="s">
        <v>69</v>
      </c>
      <c r="S13" s="24" t="s">
        <v>69</v>
      </c>
      <c r="T13" s="23" t="s">
        <v>72</v>
      </c>
      <c r="U13" s="24" t="s">
        <v>69</v>
      </c>
      <c r="V13" s="23"/>
      <c r="W13" s="23"/>
      <c r="X13" s="23" t="s">
        <v>153</v>
      </c>
      <c r="Y13" s="23"/>
    </row>
    <row r="14" spans="1:25" ht="60" customHeight="1" x14ac:dyDescent="0.25">
      <c r="A14" s="23" t="s">
        <v>167</v>
      </c>
      <c r="B14" s="23" t="s">
        <v>168</v>
      </c>
      <c r="C14" s="23" t="s">
        <v>169</v>
      </c>
      <c r="D14" s="23" t="s">
        <v>61</v>
      </c>
      <c r="E14" s="23" t="s">
        <v>146</v>
      </c>
      <c r="F14" s="23" t="s">
        <v>170</v>
      </c>
      <c r="G14" s="23" t="s">
        <v>171</v>
      </c>
      <c r="H14" s="23" t="s">
        <v>149</v>
      </c>
      <c r="I14" s="23"/>
      <c r="J14" s="23" t="s">
        <v>172</v>
      </c>
      <c r="K14" s="23" t="s">
        <v>139</v>
      </c>
      <c r="L14" s="23" t="s">
        <v>68</v>
      </c>
      <c r="M14" s="24" t="s">
        <v>69</v>
      </c>
      <c r="N14" s="23" t="s">
        <v>173</v>
      </c>
      <c r="O14" s="23" t="s">
        <v>141</v>
      </c>
      <c r="P14" s="24" t="s">
        <v>69</v>
      </c>
      <c r="Q14" s="24" t="s">
        <v>69</v>
      </c>
      <c r="R14" s="24" t="s">
        <v>69</v>
      </c>
      <c r="S14" s="24" t="s">
        <v>69</v>
      </c>
      <c r="T14" s="23" t="s">
        <v>72</v>
      </c>
      <c r="U14" s="24" t="s">
        <v>69</v>
      </c>
      <c r="V14" s="23"/>
      <c r="W14" s="23"/>
      <c r="X14" s="23"/>
      <c r="Y14" s="23"/>
    </row>
    <row r="15" spans="1:25" ht="60" customHeight="1" x14ac:dyDescent="0.25">
      <c r="A15" s="23" t="s">
        <v>174</v>
      </c>
      <c r="B15" s="23" t="s">
        <v>175</v>
      </c>
      <c r="C15" s="23" t="s">
        <v>60</v>
      </c>
      <c r="D15" s="23" t="s">
        <v>61</v>
      </c>
      <c r="E15" s="23" t="s">
        <v>133</v>
      </c>
      <c r="F15" s="23" t="s">
        <v>176</v>
      </c>
      <c r="G15" s="23" t="s">
        <v>177</v>
      </c>
      <c r="H15" s="23" t="s">
        <v>178</v>
      </c>
      <c r="I15" s="23"/>
      <c r="J15" s="23" t="s">
        <v>158</v>
      </c>
      <c r="K15" s="23" t="s">
        <v>139</v>
      </c>
      <c r="L15" s="23" t="s">
        <v>68</v>
      </c>
      <c r="M15" s="24" t="s">
        <v>69</v>
      </c>
      <c r="N15" s="23" t="s">
        <v>179</v>
      </c>
      <c r="O15" s="23" t="s">
        <v>141</v>
      </c>
      <c r="P15" s="24" t="s">
        <v>69</v>
      </c>
      <c r="Q15" s="24" t="s">
        <v>69</v>
      </c>
      <c r="R15" s="24" t="s">
        <v>69</v>
      </c>
      <c r="S15" s="24" t="s">
        <v>69</v>
      </c>
      <c r="T15" s="23" t="s">
        <v>72</v>
      </c>
      <c r="U15" s="24" t="s">
        <v>69</v>
      </c>
      <c r="V15" s="23"/>
      <c r="W15" s="23" t="s">
        <v>180</v>
      </c>
      <c r="X15" s="23" t="s">
        <v>181</v>
      </c>
      <c r="Y15" s="23" t="s">
        <v>182</v>
      </c>
    </row>
    <row r="16" spans="1:25" ht="60" customHeight="1" x14ac:dyDescent="0.25">
      <c r="A16" s="23" t="s">
        <v>181</v>
      </c>
      <c r="B16" s="23" t="s">
        <v>183</v>
      </c>
      <c r="C16" s="23" t="s">
        <v>60</v>
      </c>
      <c r="D16" s="23" t="s">
        <v>61</v>
      </c>
      <c r="E16" s="23" t="s">
        <v>146</v>
      </c>
      <c r="F16" s="23" t="s">
        <v>184</v>
      </c>
      <c r="G16" s="23" t="s">
        <v>185</v>
      </c>
      <c r="H16" s="23" t="s">
        <v>149</v>
      </c>
      <c r="I16" s="23"/>
      <c r="J16" s="23" t="s">
        <v>186</v>
      </c>
      <c r="K16" s="23" t="s">
        <v>139</v>
      </c>
      <c r="L16" s="23" t="s">
        <v>68</v>
      </c>
      <c r="M16" s="24" t="s">
        <v>69</v>
      </c>
      <c r="N16" s="23" t="s">
        <v>187</v>
      </c>
      <c r="O16" s="23" t="s">
        <v>141</v>
      </c>
      <c r="P16" s="24" t="s">
        <v>69</v>
      </c>
      <c r="Q16" s="24" t="s">
        <v>69</v>
      </c>
      <c r="R16" s="24" t="s">
        <v>69</v>
      </c>
      <c r="S16" s="24" t="s">
        <v>69</v>
      </c>
      <c r="T16" s="23" t="s">
        <v>72</v>
      </c>
      <c r="U16" s="24" t="s">
        <v>69</v>
      </c>
      <c r="V16" s="23"/>
      <c r="W16" s="23"/>
      <c r="X16" s="23" t="s">
        <v>174</v>
      </c>
      <c r="Y16" s="23"/>
    </row>
    <row r="17" spans="1:25" ht="60" customHeight="1" x14ac:dyDescent="0.25">
      <c r="A17" s="23" t="s">
        <v>188</v>
      </c>
      <c r="B17" s="23" t="s">
        <v>189</v>
      </c>
      <c r="C17" s="23" t="s">
        <v>169</v>
      </c>
      <c r="D17" s="23" t="s">
        <v>61</v>
      </c>
      <c r="E17" s="23" t="s">
        <v>133</v>
      </c>
      <c r="F17" s="23" t="s">
        <v>190</v>
      </c>
      <c r="G17" s="23" t="s">
        <v>191</v>
      </c>
      <c r="H17" s="23" t="s">
        <v>192</v>
      </c>
      <c r="I17" s="23" t="s">
        <v>193</v>
      </c>
      <c r="J17" s="23" t="s">
        <v>194</v>
      </c>
      <c r="K17" s="23"/>
      <c r="L17" s="23" t="s">
        <v>68</v>
      </c>
      <c r="M17" s="24" t="s">
        <v>69</v>
      </c>
      <c r="N17" s="23" t="s">
        <v>195</v>
      </c>
      <c r="O17" s="23" t="s">
        <v>141</v>
      </c>
      <c r="P17" s="24" t="s">
        <v>69</v>
      </c>
      <c r="Q17" s="24" t="s">
        <v>69</v>
      </c>
      <c r="R17" s="24" t="s">
        <v>69</v>
      </c>
      <c r="S17" s="24" t="s">
        <v>69</v>
      </c>
      <c r="T17" s="23" t="s">
        <v>196</v>
      </c>
      <c r="U17" s="24" t="s">
        <v>69</v>
      </c>
      <c r="V17" s="23"/>
      <c r="W17" s="23" t="s">
        <v>197</v>
      </c>
      <c r="X17" s="23"/>
      <c r="Y17" s="23" t="s">
        <v>198</v>
      </c>
    </row>
    <row r="18" spans="1:25" ht="60" customHeight="1" x14ac:dyDescent="0.25">
      <c r="A18" s="23" t="s">
        <v>199</v>
      </c>
      <c r="B18" s="23" t="s">
        <v>200</v>
      </c>
      <c r="C18" s="23" t="s">
        <v>169</v>
      </c>
      <c r="D18" s="23" t="s">
        <v>61</v>
      </c>
      <c r="E18" s="23" t="s">
        <v>133</v>
      </c>
      <c r="F18" s="23" t="s">
        <v>201</v>
      </c>
      <c r="G18" s="23" t="s">
        <v>202</v>
      </c>
      <c r="H18" s="23" t="s">
        <v>203</v>
      </c>
      <c r="I18" s="23"/>
      <c r="J18" s="23" t="s">
        <v>194</v>
      </c>
      <c r="K18" s="23"/>
      <c r="L18" s="23" t="s">
        <v>68</v>
      </c>
      <c r="M18" s="24" t="s">
        <v>69</v>
      </c>
      <c r="N18" s="23" t="s">
        <v>204</v>
      </c>
      <c r="O18" s="23" t="s">
        <v>141</v>
      </c>
      <c r="P18" s="24" t="s">
        <v>69</v>
      </c>
      <c r="Q18" s="24" t="s">
        <v>69</v>
      </c>
      <c r="R18" s="24" t="s">
        <v>69</v>
      </c>
      <c r="S18" s="24" t="s">
        <v>69</v>
      </c>
      <c r="T18" s="23" t="s">
        <v>196</v>
      </c>
      <c r="U18" s="24" t="s">
        <v>69</v>
      </c>
      <c r="V18" s="23"/>
      <c r="W18" s="23" t="s">
        <v>205</v>
      </c>
      <c r="X18" s="23"/>
      <c r="Y18" s="23" t="s">
        <v>206</v>
      </c>
    </row>
    <row r="19" spans="1:25" ht="60" customHeight="1" x14ac:dyDescent="0.25">
      <c r="A19" s="23" t="s">
        <v>207</v>
      </c>
      <c r="B19" s="23" t="s">
        <v>208</v>
      </c>
      <c r="C19" s="23" t="s">
        <v>169</v>
      </c>
      <c r="D19" s="23" t="s">
        <v>61</v>
      </c>
      <c r="E19" s="23" t="s">
        <v>133</v>
      </c>
      <c r="F19" s="23" t="s">
        <v>209</v>
      </c>
      <c r="G19" s="23" t="s">
        <v>210</v>
      </c>
      <c r="H19" s="23" t="s">
        <v>211</v>
      </c>
      <c r="I19" s="23" t="s">
        <v>212</v>
      </c>
      <c r="J19" s="23" t="s">
        <v>213</v>
      </c>
      <c r="K19" s="23"/>
      <c r="L19" s="23" t="s">
        <v>68</v>
      </c>
      <c r="M19" s="24" t="s">
        <v>69</v>
      </c>
      <c r="N19" s="23" t="s">
        <v>214</v>
      </c>
      <c r="O19" s="23" t="s">
        <v>141</v>
      </c>
      <c r="P19" s="24" t="s">
        <v>69</v>
      </c>
      <c r="Q19" s="24" t="s">
        <v>69</v>
      </c>
      <c r="R19" s="24" t="s">
        <v>69</v>
      </c>
      <c r="S19" s="24" t="s">
        <v>69</v>
      </c>
      <c r="T19" s="23" t="s">
        <v>72</v>
      </c>
      <c r="U19" s="24" t="s">
        <v>69</v>
      </c>
      <c r="V19" s="23"/>
      <c r="W19" s="23" t="s">
        <v>215</v>
      </c>
      <c r="X19" s="23"/>
      <c r="Y19" s="23" t="s">
        <v>216</v>
      </c>
    </row>
    <row r="20" spans="1:25" ht="60" customHeight="1" x14ac:dyDescent="0.25">
      <c r="A20" s="23" t="s">
        <v>217</v>
      </c>
      <c r="B20" s="23" t="s">
        <v>218</v>
      </c>
      <c r="C20" s="23" t="s">
        <v>169</v>
      </c>
      <c r="D20" s="23" t="s">
        <v>61</v>
      </c>
      <c r="E20" s="23" t="s">
        <v>133</v>
      </c>
      <c r="F20" s="23" t="s">
        <v>219</v>
      </c>
      <c r="G20" s="23" t="s">
        <v>220</v>
      </c>
      <c r="H20" s="23" t="s">
        <v>221</v>
      </c>
      <c r="I20" s="23"/>
      <c r="J20" s="23" t="s">
        <v>222</v>
      </c>
      <c r="K20" s="23"/>
      <c r="L20" s="23" t="s">
        <v>68</v>
      </c>
      <c r="M20" s="24" t="s">
        <v>69</v>
      </c>
      <c r="N20" s="23" t="s">
        <v>223</v>
      </c>
      <c r="O20" s="23" t="s">
        <v>141</v>
      </c>
      <c r="P20" s="24" t="s">
        <v>69</v>
      </c>
      <c r="Q20" s="24" t="s">
        <v>69</v>
      </c>
      <c r="R20" s="24" t="s">
        <v>69</v>
      </c>
      <c r="S20" s="24" t="s">
        <v>69</v>
      </c>
      <c r="T20" s="23" t="s">
        <v>196</v>
      </c>
      <c r="U20" s="24" t="s">
        <v>69</v>
      </c>
      <c r="V20" s="23"/>
      <c r="W20" s="23"/>
      <c r="X20" s="23"/>
      <c r="Y20" s="23" t="s">
        <v>224</v>
      </c>
    </row>
    <row r="21" spans="1:25" ht="60" customHeight="1" x14ac:dyDescent="0.25">
      <c r="A21" s="23" t="s">
        <v>225</v>
      </c>
      <c r="B21" s="23" t="s">
        <v>226</v>
      </c>
      <c r="C21" s="23" t="s">
        <v>169</v>
      </c>
      <c r="D21" s="23" t="s">
        <v>61</v>
      </c>
      <c r="E21" s="23" t="s">
        <v>133</v>
      </c>
      <c r="F21" s="23" t="s">
        <v>227</v>
      </c>
      <c r="G21" s="23" t="s">
        <v>228</v>
      </c>
      <c r="H21" s="23" t="s">
        <v>203</v>
      </c>
      <c r="I21" s="23"/>
      <c r="J21" s="23" t="s">
        <v>229</v>
      </c>
      <c r="K21" s="23"/>
      <c r="L21" s="23" t="s">
        <v>68</v>
      </c>
      <c r="M21" s="24" t="s">
        <v>69</v>
      </c>
      <c r="N21" s="23" t="s">
        <v>230</v>
      </c>
      <c r="O21" s="23" t="s">
        <v>141</v>
      </c>
      <c r="P21" s="24" t="s">
        <v>69</v>
      </c>
      <c r="Q21" s="24" t="s">
        <v>69</v>
      </c>
      <c r="R21" s="24" t="s">
        <v>69</v>
      </c>
      <c r="S21" s="24" t="s">
        <v>69</v>
      </c>
      <c r="T21" s="23" t="s">
        <v>196</v>
      </c>
      <c r="U21" s="24" t="s">
        <v>69</v>
      </c>
      <c r="V21" s="23"/>
      <c r="W21" s="23" t="s">
        <v>231</v>
      </c>
      <c r="X21" s="23"/>
      <c r="Y21" s="23" t="s">
        <v>232</v>
      </c>
    </row>
    <row r="22" spans="1:25" ht="87.75" customHeight="1" x14ac:dyDescent="0.25">
      <c r="A22" s="25" t="s">
        <v>233</v>
      </c>
      <c r="B22" s="25" t="s">
        <v>234</v>
      </c>
      <c r="C22" s="25" t="s">
        <v>169</v>
      </c>
      <c r="D22" s="25" t="s">
        <v>235</v>
      </c>
      <c r="E22" s="25" t="s">
        <v>236</v>
      </c>
      <c r="F22" s="25" t="s">
        <v>237</v>
      </c>
      <c r="G22" s="25" t="s">
        <v>238</v>
      </c>
      <c r="H22" s="25" t="s">
        <v>239</v>
      </c>
      <c r="I22" s="25"/>
      <c r="J22" s="25" t="s">
        <v>240</v>
      </c>
      <c r="K22" s="25"/>
      <c r="L22" s="25"/>
      <c r="M22" s="24" t="s">
        <v>69</v>
      </c>
      <c r="N22" s="25" t="s">
        <v>241</v>
      </c>
      <c r="O22" s="25" t="s">
        <v>242</v>
      </c>
      <c r="P22" s="24" t="s">
        <v>69</v>
      </c>
      <c r="Q22" s="24" t="s">
        <v>69</v>
      </c>
      <c r="R22" s="24" t="s">
        <v>69</v>
      </c>
      <c r="S22" s="24" t="s">
        <v>69</v>
      </c>
      <c r="T22" s="25" t="s">
        <v>243</v>
      </c>
      <c r="U22" s="24" t="s">
        <v>69</v>
      </c>
      <c r="V22" s="25" t="s">
        <v>244</v>
      </c>
      <c r="W22" s="25"/>
      <c r="X22" s="25"/>
      <c r="Y22" s="25" t="s">
        <v>245</v>
      </c>
    </row>
    <row r="23" spans="1:25" ht="60" customHeight="1" x14ac:dyDescent="0.25">
      <c r="A23" s="26" t="s">
        <v>246</v>
      </c>
      <c r="B23" s="26" t="s">
        <v>247</v>
      </c>
      <c r="C23" s="26" t="s">
        <v>248</v>
      </c>
      <c r="D23" s="26" t="s">
        <v>248</v>
      </c>
      <c r="E23" s="26" t="s">
        <v>248</v>
      </c>
      <c r="F23" s="26" t="s">
        <v>249</v>
      </c>
      <c r="G23" s="26"/>
      <c r="H23" s="26" t="s">
        <v>250</v>
      </c>
      <c r="I23" s="26"/>
      <c r="J23" s="26"/>
      <c r="K23" s="26"/>
      <c r="L23" s="26"/>
      <c r="M23" s="24" t="s">
        <v>69</v>
      </c>
      <c r="N23" s="26"/>
      <c r="O23" s="26"/>
      <c r="P23" s="24" t="s">
        <v>69</v>
      </c>
      <c r="Q23" s="24" t="s">
        <v>69</v>
      </c>
      <c r="R23" s="24" t="s">
        <v>69</v>
      </c>
      <c r="S23" s="24" t="s">
        <v>69</v>
      </c>
      <c r="T23" s="26" t="s">
        <v>251</v>
      </c>
      <c r="U23" s="24" t="s">
        <v>69</v>
      </c>
      <c r="V23" s="26"/>
      <c r="W23" s="26"/>
      <c r="X23" s="26"/>
      <c r="Y23" s="26" t="s">
        <v>252</v>
      </c>
    </row>
    <row r="24" spans="1:25" ht="60" customHeight="1" x14ac:dyDescent="0.25">
      <c r="A24" s="26" t="s">
        <v>253</v>
      </c>
      <c r="B24" s="26" t="s">
        <v>254</v>
      </c>
      <c r="C24" s="26" t="s">
        <v>248</v>
      </c>
      <c r="D24" s="26" t="s">
        <v>248</v>
      </c>
      <c r="E24" s="26" t="s">
        <v>255</v>
      </c>
      <c r="F24" s="26" t="s">
        <v>249</v>
      </c>
      <c r="G24" s="26"/>
      <c r="H24" s="26" t="s">
        <v>250</v>
      </c>
      <c r="I24" s="26"/>
      <c r="J24" s="26"/>
      <c r="K24" s="26"/>
      <c r="L24" s="26"/>
      <c r="M24" s="24" t="s">
        <v>69</v>
      </c>
      <c r="N24" s="26"/>
      <c r="O24" s="26"/>
      <c r="P24" s="24" t="s">
        <v>69</v>
      </c>
      <c r="Q24" s="24" t="s">
        <v>69</v>
      </c>
      <c r="R24" s="24" t="s">
        <v>69</v>
      </c>
      <c r="S24" s="24" t="s">
        <v>69</v>
      </c>
      <c r="T24" s="26" t="s">
        <v>251</v>
      </c>
      <c r="U24" s="24" t="s">
        <v>69</v>
      </c>
      <c r="V24" s="26"/>
      <c r="W24" s="26"/>
      <c r="X24" s="26"/>
      <c r="Y24" s="26" t="s">
        <v>256</v>
      </c>
    </row>
    <row r="25" spans="1:25" ht="60" customHeight="1" x14ac:dyDescent="0.25">
      <c r="A25" s="23" t="s">
        <v>257</v>
      </c>
      <c r="B25" s="23" t="s">
        <v>258</v>
      </c>
      <c r="C25" s="23" t="s">
        <v>169</v>
      </c>
      <c r="D25" s="23" t="s">
        <v>61</v>
      </c>
      <c r="E25" s="23" t="s">
        <v>146</v>
      </c>
      <c r="F25" s="23" t="s">
        <v>259</v>
      </c>
      <c r="G25" s="23" t="s">
        <v>260</v>
      </c>
      <c r="H25" s="23" t="s">
        <v>149</v>
      </c>
      <c r="I25" s="23"/>
      <c r="J25" s="23" t="s">
        <v>261</v>
      </c>
      <c r="K25" s="23"/>
      <c r="L25" s="23" t="s">
        <v>68</v>
      </c>
      <c r="M25" s="24" t="s">
        <v>69</v>
      </c>
      <c r="N25" s="23" t="s">
        <v>262</v>
      </c>
      <c r="O25" s="23" t="s">
        <v>141</v>
      </c>
      <c r="P25" s="24" t="s">
        <v>69</v>
      </c>
      <c r="Q25" s="24" t="s">
        <v>69</v>
      </c>
      <c r="R25" s="24" t="s">
        <v>69</v>
      </c>
      <c r="S25" s="24" t="s">
        <v>69</v>
      </c>
      <c r="T25" s="23" t="s">
        <v>196</v>
      </c>
      <c r="U25" s="24" t="s">
        <v>69</v>
      </c>
      <c r="V25" s="23"/>
      <c r="W25" s="23"/>
      <c r="X25" s="23"/>
      <c r="Y25" s="23" t="s">
        <v>263</v>
      </c>
    </row>
    <row r="26" spans="1:25" ht="60" customHeight="1" x14ac:dyDescent="0.25">
      <c r="A26" s="23" t="s">
        <v>264</v>
      </c>
      <c r="B26" s="23" t="s">
        <v>265</v>
      </c>
      <c r="C26" s="23" t="s">
        <v>169</v>
      </c>
      <c r="D26" s="23" t="s">
        <v>61</v>
      </c>
      <c r="E26" s="23" t="s">
        <v>133</v>
      </c>
      <c r="F26" s="23" t="s">
        <v>266</v>
      </c>
      <c r="G26" s="23" t="s">
        <v>267</v>
      </c>
      <c r="H26" s="23" t="s">
        <v>268</v>
      </c>
      <c r="I26" s="23" t="s">
        <v>212</v>
      </c>
      <c r="J26" s="23"/>
      <c r="K26" s="23" t="s">
        <v>139</v>
      </c>
      <c r="L26" s="23" t="s">
        <v>68</v>
      </c>
      <c r="M26" s="24" t="s">
        <v>69</v>
      </c>
      <c r="N26" s="23" t="s">
        <v>269</v>
      </c>
      <c r="O26" s="23" t="s">
        <v>141</v>
      </c>
      <c r="P26" s="24" t="s">
        <v>69</v>
      </c>
      <c r="Q26" s="24" t="s">
        <v>69</v>
      </c>
      <c r="R26" s="24" t="s">
        <v>69</v>
      </c>
      <c r="S26" s="24" t="s">
        <v>69</v>
      </c>
      <c r="T26" s="23" t="s">
        <v>196</v>
      </c>
      <c r="U26" s="24" t="s">
        <v>69</v>
      </c>
      <c r="V26" s="23"/>
      <c r="W26" s="23"/>
      <c r="X26" s="23" t="s">
        <v>270</v>
      </c>
      <c r="Y26" s="23"/>
    </row>
    <row r="27" spans="1:25" ht="60" customHeight="1" x14ac:dyDescent="0.25">
      <c r="A27" s="23" t="s">
        <v>270</v>
      </c>
      <c r="B27" s="23" t="s">
        <v>271</v>
      </c>
      <c r="C27" s="23" t="s">
        <v>169</v>
      </c>
      <c r="D27" s="23" t="s">
        <v>61</v>
      </c>
      <c r="E27" s="23" t="s">
        <v>146</v>
      </c>
      <c r="F27" s="23" t="s">
        <v>272</v>
      </c>
      <c r="G27" s="23" t="s">
        <v>148</v>
      </c>
      <c r="H27" s="23" t="s">
        <v>149</v>
      </c>
      <c r="I27" s="23"/>
      <c r="J27" s="23" t="s">
        <v>273</v>
      </c>
      <c r="K27" s="23" t="s">
        <v>139</v>
      </c>
      <c r="L27" s="23" t="s">
        <v>68</v>
      </c>
      <c r="M27" s="24" t="s">
        <v>69</v>
      </c>
      <c r="N27" s="23" t="s">
        <v>274</v>
      </c>
      <c r="O27" s="23" t="s">
        <v>141</v>
      </c>
      <c r="P27" s="24" t="s">
        <v>69</v>
      </c>
      <c r="Q27" s="24" t="s">
        <v>69</v>
      </c>
      <c r="R27" s="24" t="s">
        <v>69</v>
      </c>
      <c r="S27" s="24" t="s">
        <v>69</v>
      </c>
      <c r="T27" s="23" t="s">
        <v>196</v>
      </c>
      <c r="U27" s="24" t="s">
        <v>69</v>
      </c>
      <c r="V27" s="23"/>
      <c r="W27" s="23"/>
      <c r="X27" s="23" t="s">
        <v>264</v>
      </c>
      <c r="Y27" s="23" t="s">
        <v>275</v>
      </c>
    </row>
    <row r="28" spans="1:25" ht="60" customHeight="1" x14ac:dyDescent="0.25">
      <c r="A28" s="23" t="s">
        <v>276</v>
      </c>
      <c r="B28" s="23" t="s">
        <v>277</v>
      </c>
      <c r="C28" s="23" t="s">
        <v>169</v>
      </c>
      <c r="D28" s="23" t="s">
        <v>61</v>
      </c>
      <c r="E28" s="23" t="s">
        <v>133</v>
      </c>
      <c r="F28" s="23" t="s">
        <v>278</v>
      </c>
      <c r="G28" s="23" t="s">
        <v>279</v>
      </c>
      <c r="H28" s="23" t="s">
        <v>280</v>
      </c>
      <c r="I28" s="23" t="s">
        <v>281</v>
      </c>
      <c r="J28" s="23" t="s">
        <v>194</v>
      </c>
      <c r="K28" s="23"/>
      <c r="L28" s="23" t="s">
        <v>68</v>
      </c>
      <c r="M28" s="24" t="s">
        <v>69</v>
      </c>
      <c r="N28" s="23" t="s">
        <v>282</v>
      </c>
      <c r="O28" s="23" t="s">
        <v>141</v>
      </c>
      <c r="P28" s="24" t="s">
        <v>69</v>
      </c>
      <c r="Q28" s="24" t="s">
        <v>69</v>
      </c>
      <c r="R28" s="24" t="s">
        <v>69</v>
      </c>
      <c r="S28" s="24" t="s">
        <v>69</v>
      </c>
      <c r="T28" s="23" t="s">
        <v>196</v>
      </c>
      <c r="U28" s="24" t="s">
        <v>69</v>
      </c>
      <c r="V28" s="23"/>
      <c r="W28" s="23" t="s">
        <v>283</v>
      </c>
      <c r="X28" s="23"/>
      <c r="Y28" s="23" t="s">
        <v>284</v>
      </c>
    </row>
    <row r="29" spans="1:25" ht="60" customHeight="1" x14ac:dyDescent="0.25">
      <c r="A29" s="23" t="s">
        <v>285</v>
      </c>
      <c r="B29" s="23" t="s">
        <v>286</v>
      </c>
      <c r="C29" s="23" t="s">
        <v>169</v>
      </c>
      <c r="D29" s="23" t="s">
        <v>61</v>
      </c>
      <c r="E29" s="23" t="s">
        <v>133</v>
      </c>
      <c r="F29" s="23" t="s">
        <v>287</v>
      </c>
      <c r="G29" s="23" t="s">
        <v>288</v>
      </c>
      <c r="H29" s="23" t="s">
        <v>203</v>
      </c>
      <c r="I29" s="23"/>
      <c r="J29" s="23" t="s">
        <v>194</v>
      </c>
      <c r="K29" s="23"/>
      <c r="L29" s="23" t="s">
        <v>68</v>
      </c>
      <c r="M29" s="24" t="s">
        <v>69</v>
      </c>
      <c r="N29" s="23" t="s">
        <v>289</v>
      </c>
      <c r="O29" s="23" t="s">
        <v>141</v>
      </c>
      <c r="P29" s="24" t="s">
        <v>69</v>
      </c>
      <c r="Q29" s="24" t="s">
        <v>69</v>
      </c>
      <c r="R29" s="24" t="s">
        <v>69</v>
      </c>
      <c r="S29" s="24" t="s">
        <v>69</v>
      </c>
      <c r="T29" s="23" t="s">
        <v>196</v>
      </c>
      <c r="U29" s="24" t="s">
        <v>69</v>
      </c>
      <c r="V29" s="23"/>
      <c r="W29" s="23" t="s">
        <v>290</v>
      </c>
      <c r="X29" s="23"/>
      <c r="Y29" s="23" t="s">
        <v>291</v>
      </c>
    </row>
    <row r="30" spans="1:25" ht="60" customHeight="1" x14ac:dyDescent="0.25">
      <c r="A30" s="23" t="s">
        <v>292</v>
      </c>
      <c r="B30" s="23" t="s">
        <v>293</v>
      </c>
      <c r="C30" s="23" t="s">
        <v>169</v>
      </c>
      <c r="D30" s="23" t="s">
        <v>61</v>
      </c>
      <c r="E30" s="23" t="s">
        <v>133</v>
      </c>
      <c r="F30" s="23" t="s">
        <v>294</v>
      </c>
      <c r="G30" s="23" t="s">
        <v>295</v>
      </c>
      <c r="H30" s="23" t="s">
        <v>296</v>
      </c>
      <c r="I30" s="23"/>
      <c r="J30" s="23" t="s">
        <v>297</v>
      </c>
      <c r="K30" s="23"/>
      <c r="L30" s="23" t="s">
        <v>68</v>
      </c>
      <c r="M30" s="24" t="s">
        <v>69</v>
      </c>
      <c r="N30" s="23" t="s">
        <v>298</v>
      </c>
      <c r="O30" s="23" t="s">
        <v>141</v>
      </c>
      <c r="P30" s="24" t="s">
        <v>69</v>
      </c>
      <c r="Q30" s="24" t="s">
        <v>69</v>
      </c>
      <c r="R30" s="24" t="s">
        <v>69</v>
      </c>
      <c r="S30" s="24" t="s">
        <v>69</v>
      </c>
      <c r="T30" s="23" t="s">
        <v>196</v>
      </c>
      <c r="U30" s="24" t="s">
        <v>69</v>
      </c>
      <c r="V30" s="23"/>
      <c r="W30" s="23" t="s">
        <v>299</v>
      </c>
      <c r="X30" s="23"/>
      <c r="Y30" s="23"/>
    </row>
    <row r="31" spans="1:25" ht="92.1" customHeight="1" x14ac:dyDescent="0.25">
      <c r="A31" s="45" t="s">
        <v>539</v>
      </c>
      <c r="B31" s="45" t="s">
        <v>540</v>
      </c>
      <c r="C31" s="45" t="s">
        <v>541</v>
      </c>
      <c r="D31" s="45" t="s">
        <v>542</v>
      </c>
      <c r="E31" s="45" t="s">
        <v>543</v>
      </c>
      <c r="F31" s="45" t="s">
        <v>544</v>
      </c>
      <c r="G31" s="45" t="s">
        <v>545</v>
      </c>
      <c r="H31" s="45" t="s">
        <v>546</v>
      </c>
      <c r="I31" s="45"/>
      <c r="J31" s="45" t="s">
        <v>547</v>
      </c>
      <c r="K31" s="45" t="s">
        <v>548</v>
      </c>
      <c r="L31" s="45" t="s">
        <v>549</v>
      </c>
      <c r="M31" s="47" t="s">
        <v>69</v>
      </c>
      <c r="N31" s="45" t="s">
        <v>550</v>
      </c>
      <c r="O31" s="45"/>
      <c r="P31" s="47" t="s">
        <v>551</v>
      </c>
      <c r="Q31" s="47" t="s">
        <v>549</v>
      </c>
      <c r="R31" s="47" t="s">
        <v>552</v>
      </c>
      <c r="S31" s="47" t="s">
        <v>552</v>
      </c>
      <c r="T31" s="46" t="s">
        <v>553</v>
      </c>
      <c r="U31" s="45" t="s">
        <v>554</v>
      </c>
      <c r="V31" s="45" t="s">
        <v>555</v>
      </c>
      <c r="W31" s="45" t="s">
        <v>556</v>
      </c>
      <c r="X31" s="45" t="s">
        <v>557</v>
      </c>
      <c r="Y31" s="45" t="s">
        <v>558</v>
      </c>
    </row>
    <row r="32" spans="1:25" ht="92.1" customHeight="1" x14ac:dyDescent="0.25">
      <c r="A32" s="45" t="s">
        <v>557</v>
      </c>
      <c r="B32" s="45" t="s">
        <v>559</v>
      </c>
      <c r="C32" s="45" t="s">
        <v>541</v>
      </c>
      <c r="D32" s="45" t="s">
        <v>542</v>
      </c>
      <c r="E32" s="45" t="s">
        <v>543</v>
      </c>
      <c r="F32" s="45" t="s">
        <v>560</v>
      </c>
      <c r="G32" s="45" t="s">
        <v>561</v>
      </c>
      <c r="H32" s="45" t="s">
        <v>546</v>
      </c>
      <c r="I32" s="45"/>
      <c r="J32" s="45" t="s">
        <v>562</v>
      </c>
      <c r="K32" s="45" t="s">
        <v>548</v>
      </c>
      <c r="L32" s="45" t="s">
        <v>549</v>
      </c>
      <c r="M32" s="47" t="s">
        <v>69</v>
      </c>
      <c r="N32" s="45" t="s">
        <v>550</v>
      </c>
      <c r="O32" s="45"/>
      <c r="P32" s="47" t="s">
        <v>551</v>
      </c>
      <c r="Q32" s="47" t="s">
        <v>549</v>
      </c>
      <c r="R32" s="47" t="s">
        <v>552</v>
      </c>
      <c r="S32" s="47" t="s">
        <v>552</v>
      </c>
      <c r="T32" s="46" t="s">
        <v>553</v>
      </c>
      <c r="U32" s="45" t="s">
        <v>554</v>
      </c>
      <c r="V32" s="45" t="s">
        <v>555</v>
      </c>
      <c r="W32" s="45" t="s">
        <v>563</v>
      </c>
      <c r="X32" s="45" t="s">
        <v>539</v>
      </c>
      <c r="Y32" s="45" t="s">
        <v>564</v>
      </c>
    </row>
    <row r="33" spans="1:25" ht="92.1" customHeight="1" x14ac:dyDescent="0.25">
      <c r="A33" s="45" t="s">
        <v>565</v>
      </c>
      <c r="B33" s="45" t="s">
        <v>566</v>
      </c>
      <c r="C33" s="45" t="s">
        <v>541</v>
      </c>
      <c r="D33" s="45" t="s">
        <v>542</v>
      </c>
      <c r="E33" s="45" t="s">
        <v>543</v>
      </c>
      <c r="F33" s="45" t="s">
        <v>567</v>
      </c>
      <c r="G33" s="45" t="s">
        <v>568</v>
      </c>
      <c r="H33" s="45" t="s">
        <v>546</v>
      </c>
      <c r="I33" s="45"/>
      <c r="J33" s="45" t="s">
        <v>569</v>
      </c>
      <c r="K33" s="45" t="s">
        <v>548</v>
      </c>
      <c r="L33" s="45" t="s">
        <v>549</v>
      </c>
      <c r="M33" s="47" t="s">
        <v>69</v>
      </c>
      <c r="N33" s="45" t="s">
        <v>550</v>
      </c>
      <c r="O33" s="45"/>
      <c r="P33" s="47" t="s">
        <v>551</v>
      </c>
      <c r="Q33" s="47" t="s">
        <v>549</v>
      </c>
      <c r="R33" s="47" t="s">
        <v>552</v>
      </c>
      <c r="S33" s="47" t="s">
        <v>552</v>
      </c>
      <c r="T33" s="46" t="s">
        <v>553</v>
      </c>
      <c r="U33" s="45" t="s">
        <v>554</v>
      </c>
      <c r="V33" s="45" t="s">
        <v>555</v>
      </c>
      <c r="W33" s="45" t="s">
        <v>570</v>
      </c>
      <c r="X33" s="45" t="s">
        <v>571</v>
      </c>
      <c r="Y33" s="45" t="s">
        <v>572</v>
      </c>
    </row>
    <row r="34" spans="1:25" ht="92.1" customHeight="1" x14ac:dyDescent="0.25">
      <c r="A34" s="45" t="s">
        <v>573</v>
      </c>
      <c r="B34" s="45" t="s">
        <v>574</v>
      </c>
      <c r="C34" s="45" t="s">
        <v>541</v>
      </c>
      <c r="D34" s="45" t="s">
        <v>542</v>
      </c>
      <c r="E34" s="45" t="s">
        <v>543</v>
      </c>
      <c r="F34" s="45" t="s">
        <v>544</v>
      </c>
      <c r="G34" s="45" t="s">
        <v>575</v>
      </c>
      <c r="H34" s="45" t="s">
        <v>546</v>
      </c>
      <c r="I34" s="45"/>
      <c r="J34" s="45" t="s">
        <v>576</v>
      </c>
      <c r="K34" s="45" t="s">
        <v>548</v>
      </c>
      <c r="L34" s="45" t="s">
        <v>549</v>
      </c>
      <c r="M34" s="47" t="s">
        <v>69</v>
      </c>
      <c r="N34" s="45" t="s">
        <v>550</v>
      </c>
      <c r="O34" s="45"/>
      <c r="P34" s="47" t="s">
        <v>551</v>
      </c>
      <c r="Q34" s="47" t="s">
        <v>549</v>
      </c>
      <c r="R34" s="47" t="s">
        <v>552</v>
      </c>
      <c r="S34" s="47" t="s">
        <v>552</v>
      </c>
      <c r="T34" s="46" t="s">
        <v>553</v>
      </c>
      <c r="U34" s="45" t="s">
        <v>554</v>
      </c>
      <c r="V34" s="45" t="s">
        <v>555</v>
      </c>
      <c r="W34" s="45" t="s">
        <v>556</v>
      </c>
      <c r="X34" s="45" t="s">
        <v>577</v>
      </c>
      <c r="Y34" s="45" t="s">
        <v>578</v>
      </c>
    </row>
    <row r="35" spans="1:25" ht="92.1" customHeight="1" x14ac:dyDescent="0.25">
      <c r="A35" s="45" t="s">
        <v>579</v>
      </c>
      <c r="B35" s="45" t="s">
        <v>580</v>
      </c>
      <c r="C35" s="45" t="s">
        <v>541</v>
      </c>
      <c r="D35" s="45" t="s">
        <v>542</v>
      </c>
      <c r="E35" s="45" t="s">
        <v>543</v>
      </c>
      <c r="F35" s="45" t="s">
        <v>560</v>
      </c>
      <c r="G35" s="45" t="s">
        <v>581</v>
      </c>
      <c r="H35" s="45" t="s">
        <v>546</v>
      </c>
      <c r="I35" s="45"/>
      <c r="J35" s="45" t="s">
        <v>582</v>
      </c>
      <c r="K35" s="45" t="s">
        <v>548</v>
      </c>
      <c r="L35" s="45" t="s">
        <v>549</v>
      </c>
      <c r="M35" s="47" t="s">
        <v>69</v>
      </c>
      <c r="N35" s="45" t="s">
        <v>550</v>
      </c>
      <c r="O35" s="45"/>
      <c r="P35" s="47" t="s">
        <v>551</v>
      </c>
      <c r="Q35" s="47" t="s">
        <v>549</v>
      </c>
      <c r="R35" s="47" t="s">
        <v>552</v>
      </c>
      <c r="S35" s="47" t="s">
        <v>552</v>
      </c>
      <c r="T35" s="46" t="s">
        <v>553</v>
      </c>
      <c r="U35" s="45" t="s">
        <v>554</v>
      </c>
      <c r="V35" s="45" t="s">
        <v>555</v>
      </c>
      <c r="W35" s="45" t="s">
        <v>563</v>
      </c>
      <c r="X35" s="45" t="s">
        <v>583</v>
      </c>
      <c r="Y35" s="45" t="s">
        <v>584</v>
      </c>
    </row>
    <row r="36" spans="1:25" ht="92.1" customHeight="1" x14ac:dyDescent="0.25">
      <c r="A36" s="45" t="s">
        <v>585</v>
      </c>
      <c r="B36" s="45" t="s">
        <v>586</v>
      </c>
      <c r="C36" s="45" t="s">
        <v>541</v>
      </c>
      <c r="D36" s="45" t="s">
        <v>542</v>
      </c>
      <c r="E36" s="45" t="s">
        <v>543</v>
      </c>
      <c r="F36" s="45" t="s">
        <v>587</v>
      </c>
      <c r="G36" s="45" t="s">
        <v>588</v>
      </c>
      <c r="H36" s="45" t="s">
        <v>546</v>
      </c>
      <c r="I36" s="45"/>
      <c r="J36" s="45" t="s">
        <v>589</v>
      </c>
      <c r="K36" s="45" t="s">
        <v>548</v>
      </c>
      <c r="L36" s="45" t="s">
        <v>549</v>
      </c>
      <c r="M36" s="47" t="s">
        <v>69</v>
      </c>
      <c r="N36" s="45" t="s">
        <v>550</v>
      </c>
      <c r="O36" s="45"/>
      <c r="P36" s="47" t="s">
        <v>551</v>
      </c>
      <c r="Q36" s="47" t="s">
        <v>549</v>
      </c>
      <c r="R36" s="47" t="s">
        <v>552</v>
      </c>
      <c r="S36" s="47" t="s">
        <v>552</v>
      </c>
      <c r="T36" s="46" t="s">
        <v>553</v>
      </c>
      <c r="U36" s="45" t="s">
        <v>554</v>
      </c>
      <c r="V36" s="45" t="s">
        <v>555</v>
      </c>
      <c r="W36" s="45" t="s">
        <v>590</v>
      </c>
      <c r="X36" s="45" t="s">
        <v>591</v>
      </c>
      <c r="Y36" s="45" t="s">
        <v>592</v>
      </c>
    </row>
    <row r="37" spans="1:25" ht="92.1" customHeight="1" x14ac:dyDescent="0.25">
      <c r="A37" s="45" t="s">
        <v>593</v>
      </c>
      <c r="B37" s="45" t="s">
        <v>594</v>
      </c>
      <c r="C37" s="45" t="s">
        <v>541</v>
      </c>
      <c r="D37" s="45" t="s">
        <v>542</v>
      </c>
      <c r="E37" s="45" t="s">
        <v>543</v>
      </c>
      <c r="F37" s="45" t="s">
        <v>595</v>
      </c>
      <c r="G37" s="45" t="s">
        <v>596</v>
      </c>
      <c r="H37" s="45" t="s">
        <v>546</v>
      </c>
      <c r="I37" s="45"/>
      <c r="J37" s="45" t="s">
        <v>597</v>
      </c>
      <c r="K37" s="45" t="s">
        <v>548</v>
      </c>
      <c r="L37" s="45" t="s">
        <v>549</v>
      </c>
      <c r="M37" s="47" t="s">
        <v>69</v>
      </c>
      <c r="N37" s="45" t="s">
        <v>550</v>
      </c>
      <c r="O37" s="45"/>
      <c r="P37" s="47" t="s">
        <v>551</v>
      </c>
      <c r="Q37" s="47" t="s">
        <v>549</v>
      </c>
      <c r="R37" s="47" t="s">
        <v>552</v>
      </c>
      <c r="S37" s="47" t="s">
        <v>552</v>
      </c>
      <c r="T37" s="46" t="s">
        <v>553</v>
      </c>
      <c r="U37" s="45" t="s">
        <v>554</v>
      </c>
      <c r="V37" s="45" t="s">
        <v>555</v>
      </c>
      <c r="W37" s="45" t="s">
        <v>598</v>
      </c>
      <c r="X37" s="45" t="s">
        <v>599</v>
      </c>
      <c r="Y37" s="45" t="s">
        <v>600</v>
      </c>
    </row>
    <row r="38" spans="1:25" ht="92.1" customHeight="1" x14ac:dyDescent="0.25">
      <c r="A38" s="45" t="s">
        <v>601</v>
      </c>
      <c r="B38" s="45" t="s">
        <v>602</v>
      </c>
      <c r="C38" s="45" t="s">
        <v>541</v>
      </c>
      <c r="D38" s="45" t="s">
        <v>542</v>
      </c>
      <c r="E38" s="45" t="s">
        <v>543</v>
      </c>
      <c r="F38" s="45" t="s">
        <v>603</v>
      </c>
      <c r="G38" s="45" t="s">
        <v>604</v>
      </c>
      <c r="H38" s="45" t="s">
        <v>546</v>
      </c>
      <c r="I38" s="45"/>
      <c r="J38" s="45" t="s">
        <v>605</v>
      </c>
      <c r="K38" s="45" t="s">
        <v>548</v>
      </c>
      <c r="L38" s="45" t="s">
        <v>549</v>
      </c>
      <c r="M38" s="47" t="s">
        <v>69</v>
      </c>
      <c r="N38" s="45" t="s">
        <v>550</v>
      </c>
      <c r="O38" s="45"/>
      <c r="P38" s="47" t="s">
        <v>551</v>
      </c>
      <c r="Q38" s="47" t="s">
        <v>549</v>
      </c>
      <c r="R38" s="47" t="s">
        <v>552</v>
      </c>
      <c r="S38" s="47" t="s">
        <v>552</v>
      </c>
      <c r="T38" s="46" t="s">
        <v>553</v>
      </c>
      <c r="U38" s="45" t="s">
        <v>554</v>
      </c>
      <c r="V38" s="45" t="s">
        <v>555</v>
      </c>
      <c r="W38" s="45" t="s">
        <v>606</v>
      </c>
      <c r="X38" s="45" t="s">
        <v>607</v>
      </c>
      <c r="Y38" s="45" t="s">
        <v>608</v>
      </c>
    </row>
    <row r="39" spans="1:25" ht="92.1" customHeight="1" x14ac:dyDescent="0.25">
      <c r="A39" s="45" t="s">
        <v>609</v>
      </c>
      <c r="B39" s="45" t="s">
        <v>610</v>
      </c>
      <c r="C39" s="45" t="s">
        <v>541</v>
      </c>
      <c r="D39" s="45" t="s">
        <v>542</v>
      </c>
      <c r="E39" s="45" t="s">
        <v>543</v>
      </c>
      <c r="F39" s="45" t="s">
        <v>611</v>
      </c>
      <c r="G39" s="45" t="s">
        <v>612</v>
      </c>
      <c r="H39" s="45" t="s">
        <v>546</v>
      </c>
      <c r="I39" s="45"/>
      <c r="J39" s="45" t="s">
        <v>613</v>
      </c>
      <c r="K39" s="45" t="s">
        <v>548</v>
      </c>
      <c r="L39" s="45" t="s">
        <v>549</v>
      </c>
      <c r="M39" s="47" t="s">
        <v>69</v>
      </c>
      <c r="N39" s="45" t="s">
        <v>550</v>
      </c>
      <c r="O39" s="45"/>
      <c r="P39" s="47" t="s">
        <v>551</v>
      </c>
      <c r="Q39" s="47" t="s">
        <v>549</v>
      </c>
      <c r="R39" s="47" t="s">
        <v>552</v>
      </c>
      <c r="S39" s="47" t="s">
        <v>552</v>
      </c>
      <c r="T39" s="46" t="s">
        <v>553</v>
      </c>
      <c r="U39" s="45" t="s">
        <v>554</v>
      </c>
      <c r="V39" s="45" t="s">
        <v>555</v>
      </c>
      <c r="W39" s="45" t="s">
        <v>570</v>
      </c>
      <c r="X39" s="45" t="s">
        <v>614</v>
      </c>
      <c r="Y39" s="45" t="s">
        <v>615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sqref="A1:D1"/>
    </sheetView>
  </sheetViews>
  <sheetFormatPr defaultRowHeight="18.75" x14ac:dyDescent="0.25"/>
  <cols>
    <col min="1" max="1" width="8.28515625" style="14" customWidth="1"/>
    <col min="2" max="2" width="31.7109375" style="14" customWidth="1"/>
    <col min="3" max="3" width="124.28515625" style="14" customWidth="1"/>
    <col min="4" max="4" width="37.140625" style="14" customWidth="1"/>
    <col min="5" max="5" width="9.140625" style="14" customWidth="1"/>
    <col min="6" max="16384" width="9.140625" style="14"/>
  </cols>
  <sheetData>
    <row r="1" spans="1:4" x14ac:dyDescent="0.25">
      <c r="A1" s="79" t="s">
        <v>300</v>
      </c>
      <c r="B1" s="80"/>
      <c r="C1" s="80"/>
      <c r="D1" s="80"/>
    </row>
    <row r="2" spans="1:4" x14ac:dyDescent="0.25">
      <c r="B2" s="15" t="s">
        <v>301</v>
      </c>
      <c r="C2" s="15" t="s">
        <v>302</v>
      </c>
      <c r="D2" s="15" t="s">
        <v>303</v>
      </c>
    </row>
    <row r="3" spans="1:4" ht="75" customHeight="1" x14ac:dyDescent="0.25">
      <c r="A3" s="16">
        <v>1</v>
      </c>
      <c r="B3" s="17" t="s">
        <v>304</v>
      </c>
      <c r="C3" s="17" t="s">
        <v>305</v>
      </c>
      <c r="D3" s="17" t="s">
        <v>306</v>
      </c>
    </row>
    <row r="4" spans="1:4" ht="243.75" customHeight="1" x14ac:dyDescent="0.25">
      <c r="A4" s="16">
        <v>2</v>
      </c>
      <c r="B4" s="17" t="s">
        <v>307</v>
      </c>
      <c r="C4" s="17" t="s">
        <v>308</v>
      </c>
      <c r="D4" s="17"/>
    </row>
    <row r="5" spans="1:4" ht="75" customHeight="1" x14ac:dyDescent="0.25">
      <c r="A5" s="16">
        <v>3</v>
      </c>
      <c r="B5" s="17" t="s">
        <v>309</v>
      </c>
      <c r="C5" s="17" t="s">
        <v>310</v>
      </c>
      <c r="D5" s="18" t="s">
        <v>242</v>
      </c>
    </row>
    <row r="6" spans="1:4" ht="37.5" customHeight="1" x14ac:dyDescent="0.25">
      <c r="A6" s="16">
        <v>4</v>
      </c>
      <c r="B6" s="17" t="s">
        <v>311</v>
      </c>
      <c r="C6" s="17"/>
      <c r="D6" s="17"/>
    </row>
  </sheetData>
  <mergeCells count="1">
    <mergeCell ref="A1:D1"/>
  </mergeCells>
  <hyperlinks>
    <hyperlink ref="D5"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topLeftCell="A39" workbookViewId="0">
      <selection activeCell="J4" sqref="J4"/>
    </sheetView>
  </sheetViews>
  <sheetFormatPr defaultColWidth="26.85546875" defaultRowHeight="15" x14ac:dyDescent="0.25"/>
  <cols>
    <col min="1" max="1" width="15.140625" style="3" customWidth="1"/>
    <col min="2" max="2" width="14.5703125" style="3" customWidth="1"/>
    <col min="3" max="3" width="29.42578125" style="3" customWidth="1"/>
    <col min="4" max="4" width="12.140625" style="4" customWidth="1"/>
    <col min="5" max="5" width="35.7109375" style="3" customWidth="1"/>
    <col min="6" max="6" width="14.85546875" style="3" customWidth="1"/>
    <col min="7" max="7" width="13.5703125" style="3" customWidth="1"/>
    <col min="8" max="8" width="47" style="3" customWidth="1"/>
    <col min="9" max="9" width="26.85546875" style="3" customWidth="1"/>
    <col min="10" max="16384" width="26.85546875" style="3"/>
  </cols>
  <sheetData>
    <row r="1" spans="1:11" ht="18.75" customHeight="1" x14ac:dyDescent="0.25">
      <c r="A1" s="81" t="s">
        <v>312</v>
      </c>
      <c r="B1" s="82"/>
      <c r="C1" s="82"/>
      <c r="D1" s="82"/>
      <c r="E1" s="82"/>
      <c r="F1" s="82"/>
      <c r="G1" s="82"/>
      <c r="H1" s="82"/>
      <c r="I1" s="82"/>
      <c r="J1" s="82"/>
      <c r="K1" s="83"/>
    </row>
    <row r="2" spans="1:11" ht="28.5" customHeight="1" x14ac:dyDescent="0.25">
      <c r="A2" s="6" t="s">
        <v>50</v>
      </c>
      <c r="B2" s="6" t="s">
        <v>313</v>
      </c>
      <c r="C2" s="6" t="s">
        <v>314</v>
      </c>
      <c r="D2" s="6" t="s">
        <v>315</v>
      </c>
      <c r="E2" s="6" t="s">
        <v>316</v>
      </c>
      <c r="F2" s="6" t="s">
        <v>317</v>
      </c>
      <c r="G2" s="6" t="s">
        <v>318</v>
      </c>
      <c r="H2" s="6" t="s">
        <v>319</v>
      </c>
      <c r="I2" s="6" t="s">
        <v>320</v>
      </c>
      <c r="J2" s="6" t="s">
        <v>33</v>
      </c>
      <c r="K2" s="6" t="s">
        <v>302</v>
      </c>
    </row>
    <row r="3" spans="1:11" ht="95.1" customHeight="1" x14ac:dyDescent="0.25">
      <c r="A3" s="2" t="s">
        <v>59</v>
      </c>
      <c r="B3" s="2" t="s">
        <v>321</v>
      </c>
      <c r="C3" s="2" t="s">
        <v>322</v>
      </c>
      <c r="D3" s="7" t="s">
        <v>70</v>
      </c>
      <c r="E3" s="2" t="s">
        <v>323</v>
      </c>
      <c r="F3" s="3" t="s">
        <v>67</v>
      </c>
      <c r="G3" s="3" t="s">
        <v>324</v>
      </c>
      <c r="H3" s="3" t="s">
        <v>325</v>
      </c>
      <c r="I3" s="3" t="s">
        <v>71</v>
      </c>
      <c r="J3" s="4" t="s">
        <v>326</v>
      </c>
      <c r="K3" s="1" t="s">
        <v>327</v>
      </c>
    </row>
    <row r="4" spans="1:11" ht="95.1" customHeight="1" x14ac:dyDescent="0.25">
      <c r="A4" s="2" t="s">
        <v>76</v>
      </c>
      <c r="B4" s="2" t="s">
        <v>321</v>
      </c>
      <c r="C4" s="2" t="s">
        <v>328</v>
      </c>
      <c r="D4" s="7" t="s">
        <v>80</v>
      </c>
      <c r="E4" s="3" t="s">
        <v>329</v>
      </c>
      <c r="F4" s="3" t="s">
        <v>67</v>
      </c>
      <c r="G4" s="3" t="s">
        <v>324</v>
      </c>
      <c r="H4" s="3" t="s">
        <v>330</v>
      </c>
      <c r="I4" s="3" t="s">
        <v>71</v>
      </c>
      <c r="J4" s="4" t="s">
        <v>326</v>
      </c>
      <c r="K4" s="11" t="s">
        <v>331</v>
      </c>
    </row>
    <row r="5" spans="1:11" ht="129.94999999999999" customHeight="1" x14ac:dyDescent="0.25">
      <c r="A5" s="2" t="s">
        <v>84</v>
      </c>
      <c r="B5" s="2" t="s">
        <v>321</v>
      </c>
      <c r="C5" s="2" t="s">
        <v>332</v>
      </c>
      <c r="D5" s="7" t="s">
        <v>88</v>
      </c>
      <c r="E5" s="2" t="s">
        <v>333</v>
      </c>
      <c r="F5" s="3" t="s">
        <v>67</v>
      </c>
      <c r="G5" s="3" t="s">
        <v>324</v>
      </c>
      <c r="H5" s="3" t="s">
        <v>334</v>
      </c>
      <c r="I5" s="3" t="s">
        <v>71</v>
      </c>
      <c r="J5" s="4" t="s">
        <v>326</v>
      </c>
      <c r="K5" s="84" t="s">
        <v>335</v>
      </c>
    </row>
    <row r="6" spans="1:11" ht="129.94999999999999" customHeight="1" x14ac:dyDescent="0.25">
      <c r="A6" s="2" t="s">
        <v>91</v>
      </c>
      <c r="B6" s="2" t="s">
        <v>321</v>
      </c>
      <c r="C6" s="2" t="s">
        <v>336</v>
      </c>
      <c r="D6" s="7" t="s">
        <v>95</v>
      </c>
      <c r="E6" s="2" t="s">
        <v>337</v>
      </c>
      <c r="F6" s="3" t="s">
        <v>67</v>
      </c>
      <c r="G6" s="3" t="s">
        <v>324</v>
      </c>
      <c r="H6" s="3" t="s">
        <v>338</v>
      </c>
      <c r="I6" s="3" t="s">
        <v>71</v>
      </c>
      <c r="J6" s="4" t="s">
        <v>326</v>
      </c>
      <c r="K6" s="96" t="s">
        <v>339</v>
      </c>
    </row>
    <row r="7" spans="1:11" ht="129.94999999999999" customHeight="1" x14ac:dyDescent="0.25">
      <c r="A7" s="2" t="s">
        <v>98</v>
      </c>
      <c r="B7" s="2" t="s">
        <v>321</v>
      </c>
      <c r="C7" s="2" t="s">
        <v>340</v>
      </c>
      <c r="D7" s="7" t="s">
        <v>102</v>
      </c>
      <c r="E7" s="2" t="s">
        <v>341</v>
      </c>
      <c r="F7" s="3" t="s">
        <v>67</v>
      </c>
      <c r="G7" s="3" t="s">
        <v>324</v>
      </c>
      <c r="H7" s="3" t="s">
        <v>342</v>
      </c>
      <c r="I7" s="3" t="s">
        <v>71</v>
      </c>
      <c r="J7" s="4" t="s">
        <v>326</v>
      </c>
      <c r="K7" s="97" t="s">
        <v>343</v>
      </c>
    </row>
    <row r="8" spans="1:11" ht="228" customHeight="1" x14ac:dyDescent="0.25">
      <c r="A8" s="2" t="s">
        <v>344</v>
      </c>
      <c r="B8" s="2" t="s">
        <v>345</v>
      </c>
      <c r="C8" s="2" t="s">
        <v>346</v>
      </c>
      <c r="D8" s="7" t="s">
        <v>110</v>
      </c>
      <c r="E8" s="2" t="s">
        <v>347</v>
      </c>
      <c r="F8" s="3" t="s">
        <v>67</v>
      </c>
      <c r="G8" s="3" t="s">
        <v>324</v>
      </c>
      <c r="H8" s="3" t="s">
        <v>348</v>
      </c>
      <c r="I8" s="3" t="s">
        <v>71</v>
      </c>
      <c r="J8" s="4" t="s">
        <v>326</v>
      </c>
      <c r="K8" s="3" t="s">
        <v>349</v>
      </c>
    </row>
    <row r="9" spans="1:11" ht="180" customHeight="1" x14ac:dyDescent="0.25">
      <c r="A9" s="2" t="s">
        <v>344</v>
      </c>
      <c r="B9" s="2" t="s">
        <v>345</v>
      </c>
      <c r="C9" s="2" t="s">
        <v>346</v>
      </c>
      <c r="D9" s="4" t="s">
        <v>350</v>
      </c>
      <c r="E9" s="3" t="s">
        <v>351</v>
      </c>
      <c r="F9" s="3" t="s">
        <v>67</v>
      </c>
      <c r="G9" s="3" t="s">
        <v>324</v>
      </c>
      <c r="H9" s="3" t="s">
        <v>352</v>
      </c>
      <c r="I9" s="3" t="s">
        <v>71</v>
      </c>
      <c r="J9" s="4" t="s">
        <v>326</v>
      </c>
      <c r="K9" s="3" t="s">
        <v>349</v>
      </c>
    </row>
    <row r="10" spans="1:11" ht="120" customHeight="1" x14ac:dyDescent="0.25">
      <c r="A10" s="2" t="s">
        <v>344</v>
      </c>
      <c r="B10" s="2" t="s">
        <v>345</v>
      </c>
      <c r="C10" s="2" t="s">
        <v>346</v>
      </c>
      <c r="D10" s="4" t="s">
        <v>128</v>
      </c>
      <c r="E10" s="3" t="s">
        <v>353</v>
      </c>
      <c r="F10" s="3" t="s">
        <v>67</v>
      </c>
      <c r="G10" s="3" t="s">
        <v>324</v>
      </c>
      <c r="H10" s="3" t="s">
        <v>354</v>
      </c>
      <c r="I10" s="3" t="s">
        <v>71</v>
      </c>
      <c r="J10" s="4" t="s">
        <v>326</v>
      </c>
      <c r="K10" s="3" t="s">
        <v>349</v>
      </c>
    </row>
    <row r="11" spans="1:11" ht="165" customHeight="1" x14ac:dyDescent="0.25">
      <c r="A11" s="2" t="s">
        <v>131</v>
      </c>
      <c r="B11" s="3" t="s">
        <v>355</v>
      </c>
      <c r="C11" s="3" t="s">
        <v>356</v>
      </c>
      <c r="D11" s="4" t="s">
        <v>140</v>
      </c>
      <c r="E11" s="3" t="s">
        <v>357</v>
      </c>
      <c r="F11" s="3" t="s">
        <v>139</v>
      </c>
      <c r="G11" s="3" t="s">
        <v>324</v>
      </c>
      <c r="H11" s="1" t="s">
        <v>358</v>
      </c>
      <c r="I11" s="3" t="s">
        <v>141</v>
      </c>
      <c r="J11" s="4" t="s">
        <v>326</v>
      </c>
    </row>
    <row r="12" spans="1:11" ht="225" customHeight="1" x14ac:dyDescent="0.25">
      <c r="A12" s="2" t="s">
        <v>145</v>
      </c>
      <c r="B12" s="3" t="s">
        <v>146</v>
      </c>
      <c r="C12" s="3" t="s">
        <v>359</v>
      </c>
      <c r="D12" s="4" t="s">
        <v>151</v>
      </c>
      <c r="E12" s="3" t="s">
        <v>360</v>
      </c>
      <c r="F12" s="3" t="s">
        <v>139</v>
      </c>
      <c r="G12" s="3" t="s">
        <v>324</v>
      </c>
      <c r="H12" s="3" t="s">
        <v>361</v>
      </c>
      <c r="I12" s="3" t="s">
        <v>141</v>
      </c>
      <c r="J12" s="4" t="s">
        <v>326</v>
      </c>
    </row>
    <row r="13" spans="1:11" ht="225" customHeight="1" x14ac:dyDescent="0.25">
      <c r="A13" s="2" t="s">
        <v>154</v>
      </c>
      <c r="B13" s="3" t="s">
        <v>355</v>
      </c>
      <c r="C13" s="3" t="s">
        <v>362</v>
      </c>
      <c r="D13" s="4" t="s">
        <v>159</v>
      </c>
      <c r="E13" s="3" t="s">
        <v>363</v>
      </c>
      <c r="F13" s="3" t="s">
        <v>139</v>
      </c>
      <c r="G13" s="3" t="s">
        <v>324</v>
      </c>
      <c r="H13" s="3" t="s">
        <v>364</v>
      </c>
      <c r="I13" s="3" t="s">
        <v>141</v>
      </c>
      <c r="J13" s="4" t="s">
        <v>326</v>
      </c>
    </row>
    <row r="14" spans="1:11" ht="195" customHeight="1" x14ac:dyDescent="0.25">
      <c r="A14" s="2" t="s">
        <v>163</v>
      </c>
      <c r="B14" s="3" t="s">
        <v>146</v>
      </c>
      <c r="C14" s="3" t="s">
        <v>359</v>
      </c>
      <c r="D14" s="4" t="s">
        <v>159</v>
      </c>
      <c r="E14" s="3" t="s">
        <v>365</v>
      </c>
      <c r="F14" s="3" t="s">
        <v>139</v>
      </c>
      <c r="G14" s="3" t="s">
        <v>324</v>
      </c>
      <c r="H14" s="3" t="s">
        <v>366</v>
      </c>
      <c r="I14" s="3" t="s">
        <v>141</v>
      </c>
      <c r="J14" s="4" t="s">
        <v>326</v>
      </c>
    </row>
    <row r="15" spans="1:11" ht="114" customHeight="1" x14ac:dyDescent="0.25">
      <c r="A15" s="2" t="s">
        <v>367</v>
      </c>
      <c r="B15" s="3" t="s">
        <v>146</v>
      </c>
      <c r="C15" s="4" t="s">
        <v>368</v>
      </c>
      <c r="D15" s="4" t="s">
        <v>173</v>
      </c>
      <c r="E15" s="5" t="s">
        <v>369</v>
      </c>
      <c r="F15" s="3" t="s">
        <v>139</v>
      </c>
      <c r="G15" s="3" t="s">
        <v>324</v>
      </c>
      <c r="H15" s="3" t="s">
        <v>370</v>
      </c>
      <c r="I15" s="3" t="s">
        <v>141</v>
      </c>
      <c r="J15" s="4" t="s">
        <v>326</v>
      </c>
    </row>
    <row r="16" spans="1:11" ht="195" customHeight="1" x14ac:dyDescent="0.25">
      <c r="A16" s="2" t="s">
        <v>371</v>
      </c>
      <c r="B16" s="3" t="s">
        <v>355</v>
      </c>
      <c r="C16" s="3" t="s">
        <v>372</v>
      </c>
      <c r="D16" s="4" t="s">
        <v>179</v>
      </c>
      <c r="E16" s="5" t="s">
        <v>373</v>
      </c>
      <c r="F16" s="3" t="s">
        <v>139</v>
      </c>
      <c r="G16" s="3" t="s">
        <v>324</v>
      </c>
      <c r="H16" s="3" t="s">
        <v>374</v>
      </c>
      <c r="J16" s="4" t="s">
        <v>326</v>
      </c>
    </row>
    <row r="17" spans="1:11" ht="60" customHeight="1" x14ac:dyDescent="0.25">
      <c r="A17" s="2" t="s">
        <v>183</v>
      </c>
      <c r="B17" s="3" t="s">
        <v>146</v>
      </c>
      <c r="C17" s="3" t="s">
        <v>368</v>
      </c>
      <c r="D17" s="4" t="s">
        <v>187</v>
      </c>
      <c r="E17" s="1" t="s">
        <v>375</v>
      </c>
      <c r="F17" s="3" t="s">
        <v>139</v>
      </c>
      <c r="G17" s="3" t="s">
        <v>324</v>
      </c>
      <c r="H17" s="3" t="s">
        <v>376</v>
      </c>
      <c r="J17" s="4" t="s">
        <v>326</v>
      </c>
    </row>
    <row r="18" spans="1:11" ht="180" customHeight="1" x14ac:dyDescent="0.25">
      <c r="A18" s="2" t="s">
        <v>189</v>
      </c>
      <c r="B18" s="3" t="s">
        <v>355</v>
      </c>
      <c r="C18" s="3" t="s">
        <v>377</v>
      </c>
      <c r="D18" s="4" t="s">
        <v>378</v>
      </c>
      <c r="E18" s="1" t="s">
        <v>379</v>
      </c>
      <c r="G18" s="3" t="s">
        <v>324</v>
      </c>
      <c r="H18" s="3" t="s">
        <v>380</v>
      </c>
      <c r="J18" s="4"/>
      <c r="K18" s="11" t="s">
        <v>381</v>
      </c>
    </row>
    <row r="19" spans="1:11" ht="135" customHeight="1" x14ac:dyDescent="0.25">
      <c r="A19" s="2" t="s">
        <v>200</v>
      </c>
      <c r="B19" s="3" t="s">
        <v>355</v>
      </c>
      <c r="C19" s="11" t="s">
        <v>382</v>
      </c>
      <c r="D19" s="4" t="s">
        <v>383</v>
      </c>
      <c r="E19" s="3" t="s">
        <v>384</v>
      </c>
      <c r="G19" s="3" t="s">
        <v>324</v>
      </c>
      <c r="H19" s="3" t="s">
        <v>385</v>
      </c>
      <c r="J19" s="4"/>
      <c r="K19" s="11" t="s">
        <v>386</v>
      </c>
    </row>
    <row r="20" spans="1:11" ht="210" customHeight="1" x14ac:dyDescent="0.25">
      <c r="A20" s="2" t="s">
        <v>387</v>
      </c>
      <c r="B20" s="3" t="s">
        <v>355</v>
      </c>
      <c r="C20" s="3" t="s">
        <v>388</v>
      </c>
      <c r="D20" s="4" t="s">
        <v>214</v>
      </c>
      <c r="E20" s="1" t="s">
        <v>389</v>
      </c>
      <c r="G20" s="3" t="s">
        <v>324</v>
      </c>
      <c r="H20" s="12" t="s">
        <v>390</v>
      </c>
      <c r="J20" s="4" t="s">
        <v>326</v>
      </c>
      <c r="K20" s="11" t="s">
        <v>391</v>
      </c>
    </row>
    <row r="21" spans="1:11" ht="300" customHeight="1" x14ac:dyDescent="0.25">
      <c r="A21" s="2" t="s">
        <v>392</v>
      </c>
      <c r="B21" s="3" t="s">
        <v>355</v>
      </c>
      <c r="C21" s="3" t="s">
        <v>393</v>
      </c>
      <c r="D21" s="4" t="s">
        <v>394</v>
      </c>
      <c r="E21" s="1" t="s">
        <v>395</v>
      </c>
      <c r="G21" s="3" t="s">
        <v>324</v>
      </c>
      <c r="H21" s="3" t="s">
        <v>396</v>
      </c>
      <c r="J21" s="4"/>
      <c r="K21" s="11" t="s">
        <v>397</v>
      </c>
    </row>
    <row r="22" spans="1:11" ht="105" customHeight="1" x14ac:dyDescent="0.25">
      <c r="A22" s="2" t="s">
        <v>226</v>
      </c>
      <c r="B22" s="3" t="s">
        <v>355</v>
      </c>
      <c r="C22" s="3" t="s">
        <v>398</v>
      </c>
      <c r="D22" s="4" t="s">
        <v>399</v>
      </c>
      <c r="E22" s="1" t="s">
        <v>400</v>
      </c>
      <c r="G22" s="3" t="s">
        <v>324</v>
      </c>
      <c r="H22" s="3" t="s">
        <v>401</v>
      </c>
      <c r="J22" s="4"/>
      <c r="K22" s="11" t="s">
        <v>402</v>
      </c>
    </row>
    <row r="23" spans="1:11" ht="165" customHeight="1" x14ac:dyDescent="0.25">
      <c r="A23" s="8" t="s">
        <v>403</v>
      </c>
      <c r="B23" s="13"/>
      <c r="C23" s="13" t="s">
        <v>404</v>
      </c>
      <c r="D23" s="9" t="s">
        <v>405</v>
      </c>
      <c r="E23" s="10" t="s">
        <v>406</v>
      </c>
      <c r="J23" s="4"/>
      <c r="K23" s="11" t="s">
        <v>407</v>
      </c>
    </row>
    <row r="24" spans="1:11" ht="42.75" customHeight="1" x14ac:dyDescent="0.25">
      <c r="A24" s="8" t="s">
        <v>247</v>
      </c>
      <c r="D24" s="3"/>
    </row>
    <row r="25" spans="1:11" ht="28.5" customHeight="1" x14ac:dyDescent="0.25">
      <c r="A25" s="8" t="s">
        <v>254</v>
      </c>
    </row>
    <row r="26" spans="1:11" ht="135" customHeight="1" x14ac:dyDescent="0.25">
      <c r="A26" s="2" t="s">
        <v>258</v>
      </c>
      <c r="B26" s="4" t="s">
        <v>146</v>
      </c>
      <c r="C26" s="3" t="s">
        <v>368</v>
      </c>
      <c r="D26" s="4" t="s">
        <v>408</v>
      </c>
      <c r="E26" s="3" t="s">
        <v>409</v>
      </c>
      <c r="G26" s="3" t="s">
        <v>324</v>
      </c>
      <c r="H26" s="3" t="s">
        <v>410</v>
      </c>
    </row>
    <row r="27" spans="1:11" ht="104.25" customHeight="1" x14ac:dyDescent="0.25">
      <c r="A27" s="3" t="s">
        <v>265</v>
      </c>
      <c r="B27" s="3" t="s">
        <v>411</v>
      </c>
      <c r="C27" s="3" t="s">
        <v>412</v>
      </c>
      <c r="D27" s="4" t="s">
        <v>269</v>
      </c>
      <c r="E27" s="3" t="s">
        <v>413</v>
      </c>
      <c r="F27" s="3" t="s">
        <v>139</v>
      </c>
      <c r="G27" s="3" t="s">
        <v>324</v>
      </c>
      <c r="H27" s="3" t="s">
        <v>414</v>
      </c>
      <c r="K27" s="11" t="s">
        <v>415</v>
      </c>
    </row>
    <row r="28" spans="1:11" ht="120" customHeight="1" x14ac:dyDescent="0.25">
      <c r="A28" s="3" t="s">
        <v>271</v>
      </c>
      <c r="B28" s="3" t="s">
        <v>146</v>
      </c>
      <c r="C28" s="3" t="s">
        <v>359</v>
      </c>
      <c r="D28" s="4" t="s">
        <v>274</v>
      </c>
      <c r="E28" s="3" t="s">
        <v>416</v>
      </c>
      <c r="F28" s="3" t="s">
        <v>139</v>
      </c>
      <c r="G28" s="3" t="s">
        <v>324</v>
      </c>
      <c r="H28" s="3" t="s">
        <v>417</v>
      </c>
    </row>
    <row r="29" spans="1:11" ht="90" customHeight="1" x14ac:dyDescent="0.25">
      <c r="A29" s="3" t="s">
        <v>277</v>
      </c>
      <c r="B29" s="3" t="s">
        <v>411</v>
      </c>
      <c r="C29" s="11" t="s">
        <v>418</v>
      </c>
      <c r="D29" s="4" t="s">
        <v>419</v>
      </c>
      <c r="E29" s="3" t="s">
        <v>420</v>
      </c>
      <c r="G29" s="3" t="s">
        <v>324</v>
      </c>
      <c r="H29" s="11" t="s">
        <v>421</v>
      </c>
      <c r="K29" s="95" t="s">
        <v>422</v>
      </c>
    </row>
    <row r="30" spans="1:11" ht="105" customHeight="1" x14ac:dyDescent="0.25">
      <c r="A30" s="3" t="s">
        <v>423</v>
      </c>
      <c r="B30" s="3" t="s">
        <v>411</v>
      </c>
      <c r="C30" s="3" t="s">
        <v>424</v>
      </c>
      <c r="D30" s="4" t="s">
        <v>425</v>
      </c>
      <c r="E30" s="3" t="s">
        <v>426</v>
      </c>
      <c r="G30" s="3" t="s">
        <v>324</v>
      </c>
      <c r="H30" s="3" t="s">
        <v>427</v>
      </c>
    </row>
    <row r="31" spans="1:11" s="36" customFormat="1" ht="90" customHeight="1" x14ac:dyDescent="0.25">
      <c r="A31" s="36" t="s">
        <v>428</v>
      </c>
      <c r="B31" s="36" t="s">
        <v>411</v>
      </c>
      <c r="C31" s="11" t="s">
        <v>429</v>
      </c>
      <c r="D31" s="37" t="s">
        <v>430</v>
      </c>
      <c r="E31" s="36" t="s">
        <v>431</v>
      </c>
      <c r="G31" s="36" t="s">
        <v>324</v>
      </c>
      <c r="H31" s="36" t="s">
        <v>432</v>
      </c>
    </row>
    <row r="32" spans="1:11" ht="135" x14ac:dyDescent="0.25">
      <c r="A32" s="92" t="s">
        <v>433</v>
      </c>
      <c r="B32" s="93" t="s">
        <v>321</v>
      </c>
      <c r="C32" s="93" t="s">
        <v>434</v>
      </c>
      <c r="D32" s="38" t="s">
        <v>435</v>
      </c>
      <c r="E32" s="93" t="s">
        <v>436</v>
      </c>
      <c r="F32" s="93"/>
      <c r="G32" s="36" t="s">
        <v>324</v>
      </c>
      <c r="H32" s="93" t="s">
        <v>437</v>
      </c>
      <c r="I32" s="93" t="s">
        <v>69</v>
      </c>
      <c r="J32" s="92" t="s">
        <v>438</v>
      </c>
      <c r="K32" s="92" t="s">
        <v>439</v>
      </c>
    </row>
    <row r="33" spans="1:11" ht="111.95" customHeight="1" x14ac:dyDescent="0.25">
      <c r="A33" s="94" t="s">
        <v>496</v>
      </c>
      <c r="B33" s="94" t="s">
        <v>616</v>
      </c>
      <c r="C33" s="94" t="s">
        <v>544</v>
      </c>
      <c r="D33" s="94" t="s">
        <v>550</v>
      </c>
      <c r="E33" s="94" t="s">
        <v>617</v>
      </c>
      <c r="F33" s="94" t="s">
        <v>548</v>
      </c>
      <c r="G33" s="94" t="s">
        <v>549</v>
      </c>
      <c r="H33" s="94" t="s">
        <v>618</v>
      </c>
      <c r="I33" s="94" t="s">
        <v>619</v>
      </c>
      <c r="J33" s="92" t="s">
        <v>679</v>
      </c>
      <c r="K33" s="94" t="s">
        <v>620</v>
      </c>
    </row>
    <row r="34" spans="1:11" ht="111.95" customHeight="1" x14ac:dyDescent="0.25">
      <c r="A34" s="94" t="s">
        <v>497</v>
      </c>
      <c r="B34" s="94" t="s">
        <v>616</v>
      </c>
      <c r="C34" s="94" t="s">
        <v>560</v>
      </c>
      <c r="D34" s="94" t="s">
        <v>550</v>
      </c>
      <c r="E34" s="94" t="s">
        <v>621</v>
      </c>
      <c r="F34" s="94" t="s">
        <v>548</v>
      </c>
      <c r="G34" s="94" t="s">
        <v>549</v>
      </c>
      <c r="H34" s="94" t="s">
        <v>622</v>
      </c>
      <c r="I34" s="94" t="s">
        <v>619</v>
      </c>
      <c r="J34" s="92" t="s">
        <v>679</v>
      </c>
      <c r="K34" s="94" t="s">
        <v>623</v>
      </c>
    </row>
    <row r="35" spans="1:11" ht="111.95" customHeight="1" x14ac:dyDescent="0.25">
      <c r="A35" s="94" t="s">
        <v>498</v>
      </c>
      <c r="B35" s="94" t="s">
        <v>616</v>
      </c>
      <c r="C35" s="94" t="s">
        <v>567</v>
      </c>
      <c r="D35" s="94" t="s">
        <v>550</v>
      </c>
      <c r="E35" s="94" t="s">
        <v>624</v>
      </c>
      <c r="F35" s="94" t="s">
        <v>548</v>
      </c>
      <c r="G35" s="94" t="s">
        <v>549</v>
      </c>
      <c r="H35" s="94" t="s">
        <v>625</v>
      </c>
      <c r="I35" s="94" t="s">
        <v>619</v>
      </c>
      <c r="J35" s="92" t="s">
        <v>679</v>
      </c>
      <c r="K35" s="94" t="s">
        <v>626</v>
      </c>
    </row>
    <row r="36" spans="1:11" ht="111.95" customHeight="1" x14ac:dyDescent="0.25">
      <c r="A36" s="94" t="s">
        <v>499</v>
      </c>
      <c r="B36" s="94" t="s">
        <v>616</v>
      </c>
      <c r="C36" s="94" t="s">
        <v>544</v>
      </c>
      <c r="D36" s="94" t="s">
        <v>550</v>
      </c>
      <c r="E36" s="94" t="s">
        <v>617</v>
      </c>
      <c r="F36" s="94" t="s">
        <v>548</v>
      </c>
      <c r="G36" s="94" t="s">
        <v>549</v>
      </c>
      <c r="H36" s="94" t="s">
        <v>618</v>
      </c>
      <c r="I36" s="94" t="s">
        <v>619</v>
      </c>
      <c r="J36" s="92" t="s">
        <v>679</v>
      </c>
      <c r="K36" s="94" t="s">
        <v>627</v>
      </c>
    </row>
    <row r="37" spans="1:11" ht="111.95" customHeight="1" x14ac:dyDescent="0.25">
      <c r="A37" s="94" t="s">
        <v>500</v>
      </c>
      <c r="B37" s="94" t="s">
        <v>616</v>
      </c>
      <c r="C37" s="94" t="s">
        <v>560</v>
      </c>
      <c r="D37" s="94" t="s">
        <v>550</v>
      </c>
      <c r="E37" s="94" t="s">
        <v>621</v>
      </c>
      <c r="F37" s="94" t="s">
        <v>548</v>
      </c>
      <c r="G37" s="94" t="s">
        <v>549</v>
      </c>
      <c r="H37" s="94" t="s">
        <v>622</v>
      </c>
      <c r="I37" s="94" t="s">
        <v>619</v>
      </c>
      <c r="J37" s="92" t="s">
        <v>679</v>
      </c>
      <c r="K37" s="94" t="s">
        <v>628</v>
      </c>
    </row>
    <row r="38" spans="1:11" ht="111.95" customHeight="1" x14ac:dyDescent="0.25">
      <c r="A38" s="94" t="s">
        <v>501</v>
      </c>
      <c r="B38" s="94" t="s">
        <v>616</v>
      </c>
      <c r="C38" s="94" t="s">
        <v>587</v>
      </c>
      <c r="D38" s="94" t="s">
        <v>550</v>
      </c>
      <c r="E38" s="94" t="s">
        <v>629</v>
      </c>
      <c r="F38" s="94" t="s">
        <v>548</v>
      </c>
      <c r="G38" s="94" t="s">
        <v>549</v>
      </c>
      <c r="H38" s="94" t="s">
        <v>630</v>
      </c>
      <c r="I38" s="94" t="s">
        <v>619</v>
      </c>
      <c r="J38" s="92" t="s">
        <v>679</v>
      </c>
      <c r="K38" s="94" t="s">
        <v>631</v>
      </c>
    </row>
    <row r="39" spans="1:11" ht="111.95" customHeight="1" x14ac:dyDescent="0.25">
      <c r="A39" s="94" t="s">
        <v>502</v>
      </c>
      <c r="B39" s="94" t="s">
        <v>616</v>
      </c>
      <c r="C39" s="94" t="s">
        <v>595</v>
      </c>
      <c r="D39" s="94" t="s">
        <v>550</v>
      </c>
      <c r="E39" s="94" t="s">
        <v>632</v>
      </c>
      <c r="F39" s="94" t="s">
        <v>548</v>
      </c>
      <c r="G39" s="94" t="s">
        <v>549</v>
      </c>
      <c r="H39" s="94" t="s">
        <v>633</v>
      </c>
      <c r="I39" s="94" t="s">
        <v>619</v>
      </c>
      <c r="J39" s="92" t="s">
        <v>679</v>
      </c>
      <c r="K39" s="94" t="s">
        <v>634</v>
      </c>
    </row>
    <row r="40" spans="1:11" ht="111.95" customHeight="1" x14ac:dyDescent="0.25">
      <c r="A40" s="94" t="s">
        <v>503</v>
      </c>
      <c r="B40" s="94" t="s">
        <v>616</v>
      </c>
      <c r="C40" s="94" t="s">
        <v>603</v>
      </c>
      <c r="D40" s="94" t="s">
        <v>550</v>
      </c>
      <c r="E40" s="94" t="s">
        <v>635</v>
      </c>
      <c r="F40" s="94" t="s">
        <v>548</v>
      </c>
      <c r="G40" s="94" t="s">
        <v>549</v>
      </c>
      <c r="H40" s="94" t="s">
        <v>636</v>
      </c>
      <c r="I40" s="94" t="s">
        <v>619</v>
      </c>
      <c r="J40" s="92" t="s">
        <v>679</v>
      </c>
      <c r="K40" s="94" t="s">
        <v>637</v>
      </c>
    </row>
    <row r="41" spans="1:11" ht="177.75" customHeight="1" x14ac:dyDescent="0.25">
      <c r="A41" s="94" t="s">
        <v>504</v>
      </c>
      <c r="B41" s="94" t="s">
        <v>616</v>
      </c>
      <c r="C41" s="94" t="s">
        <v>611</v>
      </c>
      <c r="D41" s="94" t="s">
        <v>550</v>
      </c>
      <c r="E41" s="94" t="s">
        <v>638</v>
      </c>
      <c r="F41" s="94" t="s">
        <v>548</v>
      </c>
      <c r="G41" s="94" t="s">
        <v>549</v>
      </c>
      <c r="H41" s="94" t="s">
        <v>639</v>
      </c>
      <c r="I41" s="94" t="s">
        <v>619</v>
      </c>
      <c r="J41" s="92" t="s">
        <v>679</v>
      </c>
      <c r="K41" s="94" t="s">
        <v>640</v>
      </c>
    </row>
  </sheetData>
  <mergeCells count="2">
    <mergeCell ref="A1:K1"/>
    <mergeCell ref="K5:K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8"/>
  <sheetViews>
    <sheetView showGridLines="0" tabSelected="1" workbookViewId="0">
      <selection activeCell="E5" sqref="E5"/>
    </sheetView>
  </sheetViews>
  <sheetFormatPr defaultRowHeight="15" x14ac:dyDescent="0.25"/>
  <cols>
    <col min="1" max="1" width="26" customWidth="1"/>
    <col min="2" max="2" width="50" customWidth="1"/>
    <col min="3" max="3" width="42" customWidth="1"/>
    <col min="4" max="4" width="36" customWidth="1"/>
    <col min="5" max="5" width="24" customWidth="1"/>
    <col min="6" max="8" width="20" customWidth="1"/>
  </cols>
  <sheetData>
    <row r="1" spans="1:8" ht="30" customHeight="1" x14ac:dyDescent="0.25">
      <c r="A1" s="85" t="s">
        <v>440</v>
      </c>
      <c r="B1" s="85"/>
      <c r="C1" s="85"/>
      <c r="D1" s="85"/>
      <c r="E1" s="85"/>
      <c r="F1" s="85"/>
      <c r="G1" s="85"/>
      <c r="H1" s="85"/>
    </row>
    <row r="2" spans="1:8" ht="48" customHeight="1" x14ac:dyDescent="0.25">
      <c r="A2" s="86" t="s">
        <v>441</v>
      </c>
      <c r="B2" s="86"/>
      <c r="C2" s="86"/>
      <c r="D2" s="86"/>
      <c r="E2" s="86"/>
      <c r="F2" s="86"/>
      <c r="G2" s="86"/>
      <c r="H2" s="86"/>
    </row>
    <row r="4" spans="1:8" ht="33.950000000000003" customHeight="1" x14ac:dyDescent="0.25">
      <c r="A4" s="27" t="s">
        <v>50</v>
      </c>
      <c r="B4" s="28" t="s">
        <v>442</v>
      </c>
      <c r="C4" s="28" t="s">
        <v>443</v>
      </c>
      <c r="D4" s="28" t="s">
        <v>444</v>
      </c>
      <c r="E4" s="28" t="s">
        <v>445</v>
      </c>
      <c r="F4" s="28" t="s">
        <v>446</v>
      </c>
      <c r="G4" s="28" t="s">
        <v>447</v>
      </c>
      <c r="H4" s="29" t="s">
        <v>56</v>
      </c>
    </row>
    <row r="5" spans="1:8" ht="60" customHeight="1" x14ac:dyDescent="0.25">
      <c r="A5" s="30" t="s">
        <v>265</v>
      </c>
      <c r="B5" s="30" t="s">
        <v>448</v>
      </c>
      <c r="C5" s="30" t="s">
        <v>449</v>
      </c>
      <c r="D5" s="30" t="s">
        <v>450</v>
      </c>
      <c r="E5" s="33" t="s">
        <v>451</v>
      </c>
      <c r="F5" s="30" t="s">
        <v>69</v>
      </c>
      <c r="G5" s="30" t="s">
        <v>69</v>
      </c>
      <c r="H5" s="30" t="s">
        <v>69</v>
      </c>
    </row>
    <row r="6" spans="1:8" ht="60" customHeight="1" x14ac:dyDescent="0.25">
      <c r="A6" s="31" t="s">
        <v>452</v>
      </c>
      <c r="B6" s="31" t="s">
        <v>448</v>
      </c>
      <c r="C6" s="31" t="s">
        <v>449</v>
      </c>
      <c r="D6" s="31" t="s">
        <v>453</v>
      </c>
      <c r="E6" s="34" t="s">
        <v>451</v>
      </c>
      <c r="F6" s="31" t="s">
        <v>69</v>
      </c>
      <c r="G6" s="31" t="s">
        <v>69</v>
      </c>
      <c r="H6" s="31" t="s">
        <v>69</v>
      </c>
    </row>
    <row r="7" spans="1:8" ht="60" customHeight="1" x14ac:dyDescent="0.25">
      <c r="A7" s="31" t="s">
        <v>277</v>
      </c>
      <c r="B7" s="31" t="s">
        <v>454</v>
      </c>
      <c r="C7" s="31" t="s">
        <v>455</v>
      </c>
      <c r="D7" s="31" t="s">
        <v>456</v>
      </c>
      <c r="E7" s="34" t="s">
        <v>451</v>
      </c>
      <c r="F7" s="31" t="s">
        <v>69</v>
      </c>
      <c r="G7" s="31" t="s">
        <v>69</v>
      </c>
      <c r="H7" s="31" t="s">
        <v>69</v>
      </c>
    </row>
    <row r="8" spans="1:8" ht="60" customHeight="1" x14ac:dyDescent="0.25">
      <c r="A8" s="31" t="s">
        <v>189</v>
      </c>
      <c r="B8" s="31" t="s">
        <v>457</v>
      </c>
      <c r="C8" s="31" t="s">
        <v>458</v>
      </c>
      <c r="D8" s="31" t="s">
        <v>459</v>
      </c>
      <c r="E8" s="34" t="s">
        <v>460</v>
      </c>
      <c r="F8" s="31" t="s">
        <v>69</v>
      </c>
      <c r="G8" s="31" t="s">
        <v>69</v>
      </c>
      <c r="H8" s="31" t="s">
        <v>69</v>
      </c>
    </row>
    <row r="9" spans="1:8" ht="60" customHeight="1" x14ac:dyDescent="0.25">
      <c r="A9" s="31" t="s">
        <v>200</v>
      </c>
      <c r="B9" s="31" t="s">
        <v>461</v>
      </c>
      <c r="C9" s="31" t="s">
        <v>462</v>
      </c>
      <c r="D9" s="31" t="s">
        <v>463</v>
      </c>
      <c r="E9" s="34" t="s">
        <v>460</v>
      </c>
      <c r="F9" s="31" t="s">
        <v>69</v>
      </c>
      <c r="G9" s="31" t="s">
        <v>69</v>
      </c>
      <c r="H9" s="31" t="s">
        <v>69</v>
      </c>
    </row>
    <row r="10" spans="1:8" ht="60" customHeight="1" x14ac:dyDescent="0.25">
      <c r="A10" s="31" t="s">
        <v>387</v>
      </c>
      <c r="B10" s="31" t="s">
        <v>448</v>
      </c>
      <c r="C10" s="31" t="s">
        <v>464</v>
      </c>
      <c r="D10" s="31" t="s">
        <v>465</v>
      </c>
      <c r="E10" s="34" t="s">
        <v>460</v>
      </c>
      <c r="F10" s="31" t="s">
        <v>69</v>
      </c>
      <c r="G10" s="31" t="s">
        <v>69</v>
      </c>
      <c r="H10" s="31" t="s">
        <v>69</v>
      </c>
    </row>
    <row r="11" spans="1:8" ht="60" customHeight="1" x14ac:dyDescent="0.25">
      <c r="A11" s="31" t="s">
        <v>218</v>
      </c>
      <c r="B11" s="31" t="s">
        <v>466</v>
      </c>
      <c r="C11" s="31" t="s">
        <v>467</v>
      </c>
      <c r="D11" s="31" t="s">
        <v>468</v>
      </c>
      <c r="E11" s="34" t="s">
        <v>460</v>
      </c>
      <c r="F11" s="31" t="s">
        <v>69</v>
      </c>
      <c r="G11" s="31" t="s">
        <v>69</v>
      </c>
      <c r="H11" s="31" t="s">
        <v>69</v>
      </c>
    </row>
    <row r="12" spans="1:8" ht="60" customHeight="1" x14ac:dyDescent="0.25">
      <c r="A12" s="31" t="s">
        <v>226</v>
      </c>
      <c r="B12" s="31" t="s">
        <v>469</v>
      </c>
      <c r="C12" s="31" t="s">
        <v>462</v>
      </c>
      <c r="D12" s="31" t="s">
        <v>470</v>
      </c>
      <c r="E12" s="34" t="s">
        <v>460</v>
      </c>
      <c r="F12" s="31" t="s">
        <v>69</v>
      </c>
      <c r="G12" s="31" t="s">
        <v>69</v>
      </c>
      <c r="H12" s="31" t="s">
        <v>69</v>
      </c>
    </row>
    <row r="13" spans="1:8" ht="60" customHeight="1" x14ac:dyDescent="0.25">
      <c r="A13" s="32" t="s">
        <v>403</v>
      </c>
      <c r="B13" s="32" t="s">
        <v>448</v>
      </c>
      <c r="C13" s="32" t="s">
        <v>449</v>
      </c>
      <c r="D13" s="32" t="s">
        <v>471</v>
      </c>
      <c r="E13" s="35" t="s">
        <v>451</v>
      </c>
      <c r="F13" s="32" t="s">
        <v>69</v>
      </c>
      <c r="G13" s="32" t="s">
        <v>69</v>
      </c>
      <c r="H13" s="32" t="s">
        <v>69</v>
      </c>
    </row>
    <row r="14" spans="1:8" ht="60" customHeight="1" x14ac:dyDescent="0.25">
      <c r="A14" s="30" t="s">
        <v>472</v>
      </c>
      <c r="B14" s="30" t="s">
        <v>473</v>
      </c>
      <c r="C14" s="30" t="s">
        <v>474</v>
      </c>
      <c r="D14" s="30" t="s">
        <v>475</v>
      </c>
      <c r="E14" s="35" t="s">
        <v>451</v>
      </c>
      <c r="F14" s="30" t="s">
        <v>69</v>
      </c>
      <c r="G14" s="30" t="s">
        <v>69</v>
      </c>
      <c r="H14" s="30" t="s">
        <v>69</v>
      </c>
    </row>
    <row r="15" spans="1:8" ht="60" customHeight="1" x14ac:dyDescent="0.25">
      <c r="A15" s="31" t="s">
        <v>476</v>
      </c>
      <c r="B15" s="31" t="s">
        <v>477</v>
      </c>
      <c r="C15" s="31" t="s">
        <v>478</v>
      </c>
      <c r="D15" s="31" t="s">
        <v>479</v>
      </c>
      <c r="E15" s="35" t="s">
        <v>451</v>
      </c>
      <c r="F15" s="31" t="s">
        <v>70</v>
      </c>
      <c r="G15" s="31" t="s">
        <v>69</v>
      </c>
      <c r="H15" s="31" t="s">
        <v>69</v>
      </c>
    </row>
    <row r="16" spans="1:8" ht="60" customHeight="1" x14ac:dyDescent="0.25">
      <c r="A16" s="31" t="s">
        <v>480</v>
      </c>
      <c r="B16" s="31" t="s">
        <v>481</v>
      </c>
      <c r="C16" s="31" t="s">
        <v>482</v>
      </c>
      <c r="D16" s="31" t="s">
        <v>483</v>
      </c>
      <c r="E16" s="35" t="s">
        <v>451</v>
      </c>
      <c r="F16" s="31" t="s">
        <v>80</v>
      </c>
      <c r="G16" s="31" t="s">
        <v>69</v>
      </c>
      <c r="H16" s="31" t="s">
        <v>69</v>
      </c>
    </row>
    <row r="17" spans="1:8" ht="60" customHeight="1" x14ac:dyDescent="0.25">
      <c r="A17" s="31" t="s">
        <v>484</v>
      </c>
      <c r="B17" s="31" t="s">
        <v>473</v>
      </c>
      <c r="C17" s="31" t="s">
        <v>485</v>
      </c>
      <c r="D17" s="31" t="s">
        <v>486</v>
      </c>
      <c r="E17" s="35" t="s">
        <v>451</v>
      </c>
      <c r="F17" s="31" t="s">
        <v>487</v>
      </c>
      <c r="G17" s="31" t="s">
        <v>69</v>
      </c>
      <c r="H17" s="31" t="s">
        <v>69</v>
      </c>
    </row>
    <row r="18" spans="1:8" ht="60" customHeight="1" x14ac:dyDescent="0.25">
      <c r="A18" s="31" t="s">
        <v>488</v>
      </c>
      <c r="B18" s="31" t="s">
        <v>489</v>
      </c>
      <c r="C18" s="31" t="s">
        <v>490</v>
      </c>
      <c r="D18" s="31" t="s">
        <v>491</v>
      </c>
      <c r="E18" s="35" t="s">
        <v>451</v>
      </c>
      <c r="F18" s="31" t="s">
        <v>95</v>
      </c>
      <c r="G18" s="31" t="s">
        <v>69</v>
      </c>
      <c r="H18" s="31" t="s">
        <v>69</v>
      </c>
    </row>
    <row r="19" spans="1:8" ht="60" customHeight="1" x14ac:dyDescent="0.25">
      <c r="A19" s="32" t="s">
        <v>492</v>
      </c>
      <c r="B19" s="32" t="s">
        <v>493</v>
      </c>
      <c r="C19" s="32" t="s">
        <v>494</v>
      </c>
      <c r="D19" s="32" t="s">
        <v>495</v>
      </c>
      <c r="E19" s="35" t="s">
        <v>451</v>
      </c>
      <c r="F19" s="32" t="s">
        <v>102</v>
      </c>
      <c r="G19" s="32" t="s">
        <v>69</v>
      </c>
      <c r="H19" s="32" t="s">
        <v>69</v>
      </c>
    </row>
    <row r="20" spans="1:8" ht="72" customHeight="1" x14ac:dyDescent="0.25">
      <c r="A20" s="30" t="s">
        <v>496</v>
      </c>
      <c r="B20" s="30" t="s">
        <v>544</v>
      </c>
      <c r="C20" s="30" t="s">
        <v>641</v>
      </c>
      <c r="D20" s="30" t="s">
        <v>642</v>
      </c>
      <c r="E20" s="98" t="s">
        <v>550</v>
      </c>
      <c r="F20" s="30" t="s">
        <v>550</v>
      </c>
      <c r="G20" s="30" t="s">
        <v>549</v>
      </c>
      <c r="H20" s="30" t="s">
        <v>552</v>
      </c>
    </row>
    <row r="21" spans="1:8" ht="72" customHeight="1" x14ac:dyDescent="0.25">
      <c r="A21" s="31" t="s">
        <v>497</v>
      </c>
      <c r="B21" s="31" t="s">
        <v>560</v>
      </c>
      <c r="C21" s="31" t="s">
        <v>641</v>
      </c>
      <c r="D21" s="31" t="s">
        <v>644</v>
      </c>
      <c r="E21" s="99" t="s">
        <v>550</v>
      </c>
      <c r="F21" s="31" t="s">
        <v>550</v>
      </c>
      <c r="G21" s="31" t="s">
        <v>549</v>
      </c>
      <c r="H21" s="31" t="s">
        <v>552</v>
      </c>
    </row>
    <row r="22" spans="1:8" ht="72" customHeight="1" x14ac:dyDescent="0.25">
      <c r="A22" s="31" t="s">
        <v>498</v>
      </c>
      <c r="B22" s="31" t="s">
        <v>567</v>
      </c>
      <c r="C22" s="31" t="s">
        <v>645</v>
      </c>
      <c r="D22" s="31" t="s">
        <v>646</v>
      </c>
      <c r="E22" s="100" t="s">
        <v>550</v>
      </c>
      <c r="F22" s="31" t="s">
        <v>550</v>
      </c>
      <c r="G22" s="31" t="s">
        <v>549</v>
      </c>
      <c r="H22" s="31" t="s">
        <v>552</v>
      </c>
    </row>
    <row r="23" spans="1:8" ht="72" customHeight="1" x14ac:dyDescent="0.25">
      <c r="A23" s="31" t="s">
        <v>499</v>
      </c>
      <c r="B23" s="31" t="s">
        <v>544</v>
      </c>
      <c r="C23" s="31" t="s">
        <v>641</v>
      </c>
      <c r="D23" s="31" t="s">
        <v>647</v>
      </c>
      <c r="E23" s="99" t="s">
        <v>550</v>
      </c>
      <c r="F23" s="31" t="s">
        <v>550</v>
      </c>
      <c r="G23" s="31" t="s">
        <v>549</v>
      </c>
      <c r="H23" s="31" t="s">
        <v>552</v>
      </c>
    </row>
    <row r="24" spans="1:8" ht="72" customHeight="1" x14ac:dyDescent="0.25">
      <c r="A24" s="31" t="s">
        <v>500</v>
      </c>
      <c r="B24" s="31" t="s">
        <v>560</v>
      </c>
      <c r="C24" s="31" t="s">
        <v>641</v>
      </c>
      <c r="D24" s="31" t="s">
        <v>648</v>
      </c>
      <c r="E24" s="99" t="s">
        <v>550</v>
      </c>
      <c r="F24" s="31" t="s">
        <v>550</v>
      </c>
      <c r="G24" s="31" t="s">
        <v>549</v>
      </c>
      <c r="H24" s="31" t="s">
        <v>552</v>
      </c>
    </row>
    <row r="25" spans="1:8" ht="72" customHeight="1" x14ac:dyDescent="0.25">
      <c r="A25" s="31" t="s">
        <v>501</v>
      </c>
      <c r="B25" s="31" t="s">
        <v>587</v>
      </c>
      <c r="C25" s="31" t="s">
        <v>649</v>
      </c>
      <c r="D25" s="31" t="s">
        <v>650</v>
      </c>
      <c r="E25" s="99" t="s">
        <v>550</v>
      </c>
      <c r="F25" s="31" t="s">
        <v>550</v>
      </c>
      <c r="G25" s="31" t="s">
        <v>549</v>
      </c>
      <c r="H25" s="31" t="s">
        <v>552</v>
      </c>
    </row>
    <row r="26" spans="1:8" ht="72" customHeight="1" x14ac:dyDescent="0.25">
      <c r="A26" s="31" t="s">
        <v>502</v>
      </c>
      <c r="B26" s="31" t="s">
        <v>595</v>
      </c>
      <c r="C26" s="31" t="s">
        <v>651</v>
      </c>
      <c r="D26" s="31" t="s">
        <v>652</v>
      </c>
      <c r="E26" s="99" t="s">
        <v>550</v>
      </c>
      <c r="F26" s="31" t="s">
        <v>550</v>
      </c>
      <c r="G26" s="31" t="s">
        <v>549</v>
      </c>
      <c r="H26" s="31" t="s">
        <v>552</v>
      </c>
    </row>
    <row r="27" spans="1:8" ht="72" customHeight="1" x14ac:dyDescent="0.25">
      <c r="A27" s="31" t="s">
        <v>503</v>
      </c>
      <c r="B27" s="31" t="s">
        <v>603</v>
      </c>
      <c r="C27" s="31" t="s">
        <v>653</v>
      </c>
      <c r="D27" s="31" t="s">
        <v>654</v>
      </c>
      <c r="E27" s="99" t="s">
        <v>550</v>
      </c>
      <c r="F27" s="31" t="s">
        <v>550</v>
      </c>
      <c r="G27" s="31" t="s">
        <v>549</v>
      </c>
      <c r="H27" s="31" t="s">
        <v>552</v>
      </c>
    </row>
    <row r="28" spans="1:8" ht="72" customHeight="1" x14ac:dyDescent="0.25">
      <c r="A28" s="32" t="s">
        <v>504</v>
      </c>
      <c r="B28" s="32" t="s">
        <v>611</v>
      </c>
      <c r="C28" s="32" t="s">
        <v>655</v>
      </c>
      <c r="D28" s="32" t="s">
        <v>656</v>
      </c>
      <c r="E28" s="100" t="s">
        <v>550</v>
      </c>
      <c r="F28" s="31" t="s">
        <v>550</v>
      </c>
      <c r="G28" s="32" t="s">
        <v>549</v>
      </c>
      <c r="H28" s="32" t="s">
        <v>552</v>
      </c>
    </row>
  </sheetData>
  <mergeCells count="2">
    <mergeCell ref="A1:H1"/>
    <mergeCell ref="A2:H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9"/>
  <sheetViews>
    <sheetView showGridLines="0" workbookViewId="0"/>
  </sheetViews>
  <sheetFormatPr defaultRowHeight="15" x14ac:dyDescent="0.25"/>
  <cols>
    <col min="1" max="1" width="20" customWidth="1"/>
    <col min="2" max="2" width="26" customWidth="1"/>
    <col min="3" max="3" width="34" customWidth="1"/>
    <col min="4" max="4" width="23" customWidth="1"/>
    <col min="5" max="6" width="17" customWidth="1"/>
    <col min="7" max="7" width="27" customWidth="1"/>
    <col min="8" max="8" width="21" customWidth="1"/>
    <col min="9" max="9" width="30" customWidth="1"/>
    <col min="10" max="10" width="46" customWidth="1"/>
  </cols>
  <sheetData>
    <row r="1" spans="1:10" ht="30" customHeight="1" x14ac:dyDescent="0.25">
      <c r="A1" s="87" t="s">
        <v>505</v>
      </c>
      <c r="B1" s="87"/>
      <c r="C1" s="87"/>
      <c r="D1" s="87"/>
      <c r="E1" s="87"/>
      <c r="F1" s="87"/>
      <c r="G1" s="87"/>
      <c r="H1" s="87"/>
      <c r="I1" s="87"/>
      <c r="J1" s="87"/>
    </row>
    <row r="2" spans="1:10" ht="38.1" customHeight="1" x14ac:dyDescent="0.25">
      <c r="A2" s="88" t="s">
        <v>506</v>
      </c>
      <c r="B2" s="88"/>
      <c r="C2" s="88"/>
      <c r="D2" s="88"/>
      <c r="E2" s="88"/>
      <c r="F2" s="88"/>
      <c r="G2" s="88"/>
      <c r="H2" s="88"/>
      <c r="I2" s="88"/>
      <c r="J2" s="88"/>
    </row>
    <row r="4" spans="1:10" ht="33.950000000000003" customHeight="1" x14ac:dyDescent="0.25">
      <c r="A4" s="39" t="s">
        <v>507</v>
      </c>
      <c r="B4" s="39" t="s">
        <v>50</v>
      </c>
      <c r="C4" s="39" t="s">
        <v>508</v>
      </c>
      <c r="D4" s="39" t="s">
        <v>509</v>
      </c>
      <c r="E4" s="39" t="s">
        <v>510</v>
      </c>
      <c r="F4" s="39" t="s">
        <v>511</v>
      </c>
      <c r="G4" s="39" t="s">
        <v>512</v>
      </c>
      <c r="H4" s="39" t="s">
        <v>513</v>
      </c>
      <c r="I4" s="39" t="s">
        <v>445</v>
      </c>
      <c r="J4" s="39" t="s">
        <v>514</v>
      </c>
    </row>
    <row r="5" spans="1:10" ht="54" customHeight="1" x14ac:dyDescent="0.25">
      <c r="A5" s="30" t="s">
        <v>515</v>
      </c>
      <c r="B5" s="30" t="s">
        <v>516</v>
      </c>
      <c r="C5" s="30" t="s">
        <v>517</v>
      </c>
      <c r="D5" s="30" t="s">
        <v>518</v>
      </c>
      <c r="E5" s="41">
        <v>8.4</v>
      </c>
      <c r="F5" s="41">
        <f t="shared" ref="F5:F10" si="0">1/E5</f>
        <v>0.11904761904761904</v>
      </c>
      <c r="G5" s="30" t="s">
        <v>519</v>
      </c>
      <c r="H5" s="30" t="s">
        <v>520</v>
      </c>
      <c r="I5" s="30" t="s">
        <v>451</v>
      </c>
      <c r="J5" s="30" t="s">
        <v>521</v>
      </c>
    </row>
    <row r="6" spans="1:10" ht="54" customHeight="1" x14ac:dyDescent="0.25">
      <c r="A6" s="31" t="s">
        <v>515</v>
      </c>
      <c r="B6" s="31" t="s">
        <v>59</v>
      </c>
      <c r="C6" s="31" t="s">
        <v>522</v>
      </c>
      <c r="D6" s="31" t="s">
        <v>518</v>
      </c>
      <c r="E6" s="42">
        <v>16.2</v>
      </c>
      <c r="F6" s="42">
        <f t="shared" si="0"/>
        <v>6.1728395061728399E-2</v>
      </c>
      <c r="G6" s="31" t="s">
        <v>519</v>
      </c>
      <c r="H6" s="31" t="s">
        <v>520</v>
      </c>
      <c r="I6" s="31" t="s">
        <v>72</v>
      </c>
      <c r="J6" s="31" t="s">
        <v>70</v>
      </c>
    </row>
    <row r="7" spans="1:10" ht="54" customHeight="1" x14ac:dyDescent="0.25">
      <c r="A7" s="31" t="s">
        <v>515</v>
      </c>
      <c r="B7" s="31" t="s">
        <v>76</v>
      </c>
      <c r="C7" s="31" t="s">
        <v>523</v>
      </c>
      <c r="D7" s="31" t="s">
        <v>518</v>
      </c>
      <c r="E7" s="42">
        <v>20</v>
      </c>
      <c r="F7" s="42">
        <f t="shared" si="0"/>
        <v>0.05</v>
      </c>
      <c r="G7" s="31" t="s">
        <v>519</v>
      </c>
      <c r="H7" s="31" t="s">
        <v>520</v>
      </c>
      <c r="I7" s="31" t="s">
        <v>72</v>
      </c>
      <c r="J7" s="31" t="s">
        <v>80</v>
      </c>
    </row>
    <row r="8" spans="1:10" ht="54" customHeight="1" x14ac:dyDescent="0.25">
      <c r="A8" s="31" t="s">
        <v>515</v>
      </c>
      <c r="B8" s="31" t="s">
        <v>84</v>
      </c>
      <c r="C8" s="31" t="s">
        <v>524</v>
      </c>
      <c r="D8" s="31" t="s">
        <v>518</v>
      </c>
      <c r="E8" s="42">
        <v>8.4</v>
      </c>
      <c r="F8" s="42">
        <f t="shared" si="0"/>
        <v>0.11904761904761904</v>
      </c>
      <c r="G8" s="31" t="s">
        <v>519</v>
      </c>
      <c r="H8" s="31" t="s">
        <v>520</v>
      </c>
      <c r="I8" s="31" t="s">
        <v>451</v>
      </c>
      <c r="J8" s="31" t="s">
        <v>525</v>
      </c>
    </row>
    <row r="9" spans="1:10" ht="54" customHeight="1" x14ac:dyDescent="0.25">
      <c r="A9" s="31" t="s">
        <v>515</v>
      </c>
      <c r="B9" s="31" t="s">
        <v>91</v>
      </c>
      <c r="C9" s="31" t="s">
        <v>526</v>
      </c>
      <c r="D9" s="31" t="s">
        <v>518</v>
      </c>
      <c r="E9" s="42">
        <v>6</v>
      </c>
      <c r="F9" s="42">
        <f t="shared" si="0"/>
        <v>0.16666666666666666</v>
      </c>
      <c r="G9" s="31" t="s">
        <v>519</v>
      </c>
      <c r="H9" s="31" t="s">
        <v>520</v>
      </c>
      <c r="I9" s="31" t="s">
        <v>451</v>
      </c>
      <c r="J9" s="31" t="s">
        <v>95</v>
      </c>
    </row>
    <row r="10" spans="1:10" ht="54" customHeight="1" x14ac:dyDescent="0.25">
      <c r="A10" s="31" t="s">
        <v>515</v>
      </c>
      <c r="B10" s="31" t="s">
        <v>98</v>
      </c>
      <c r="C10" s="31" t="s">
        <v>527</v>
      </c>
      <c r="D10" s="31" t="s">
        <v>518</v>
      </c>
      <c r="E10" s="42">
        <v>2.6</v>
      </c>
      <c r="F10" s="42">
        <f t="shared" si="0"/>
        <v>0.38461538461538458</v>
      </c>
      <c r="G10" s="31" t="s">
        <v>519</v>
      </c>
      <c r="H10" s="31" t="s">
        <v>520</v>
      </c>
      <c r="I10" s="31" t="s">
        <v>451</v>
      </c>
      <c r="J10" s="31" t="s">
        <v>102</v>
      </c>
    </row>
    <row r="11" spans="1:10" ht="54" customHeight="1" x14ac:dyDescent="0.25">
      <c r="A11" s="31" t="s">
        <v>528</v>
      </c>
      <c r="B11" s="31" t="s">
        <v>529</v>
      </c>
      <c r="C11" s="31" t="s">
        <v>530</v>
      </c>
      <c r="D11" s="31" t="s">
        <v>531</v>
      </c>
      <c r="E11" s="42">
        <v>0.67500000000000004</v>
      </c>
      <c r="F11" s="42">
        <f t="shared" ref="F11:F19" si="1">E11</f>
        <v>0.67500000000000004</v>
      </c>
      <c r="G11" s="31" t="s">
        <v>544</v>
      </c>
      <c r="H11" s="31" t="s">
        <v>532</v>
      </c>
      <c r="I11" s="49" t="s">
        <v>643</v>
      </c>
      <c r="J11" s="44" t="s">
        <v>550</v>
      </c>
    </row>
    <row r="12" spans="1:10" ht="54" customHeight="1" x14ac:dyDescent="0.25">
      <c r="A12" s="31" t="s">
        <v>528</v>
      </c>
      <c r="B12" s="31" t="s">
        <v>533</v>
      </c>
      <c r="C12" s="31" t="s">
        <v>534</v>
      </c>
      <c r="D12" s="31" t="s">
        <v>531</v>
      </c>
      <c r="E12" s="42">
        <v>0.47</v>
      </c>
      <c r="F12" s="42">
        <f t="shared" si="1"/>
        <v>0.47</v>
      </c>
      <c r="G12" s="31" t="s">
        <v>560</v>
      </c>
      <c r="H12" s="31" t="s">
        <v>532</v>
      </c>
      <c r="I12" s="49" t="s">
        <v>643</v>
      </c>
      <c r="J12" s="44" t="s">
        <v>550</v>
      </c>
    </row>
    <row r="13" spans="1:10" ht="54" customHeight="1" x14ac:dyDescent="0.25">
      <c r="A13" s="50" t="s">
        <v>535</v>
      </c>
      <c r="B13" s="50" t="s">
        <v>536</v>
      </c>
      <c r="C13" s="50" t="s">
        <v>657</v>
      </c>
      <c r="D13" s="50" t="s">
        <v>531</v>
      </c>
      <c r="E13" s="51">
        <v>0.2</v>
      </c>
      <c r="F13" s="51">
        <f t="shared" si="1"/>
        <v>0.2</v>
      </c>
      <c r="G13" s="50" t="s">
        <v>567</v>
      </c>
      <c r="H13" s="50" t="s">
        <v>532</v>
      </c>
      <c r="I13" s="48" t="s">
        <v>643</v>
      </c>
      <c r="J13" s="50" t="s">
        <v>550</v>
      </c>
    </row>
    <row r="14" spans="1:10" ht="54" customHeight="1" x14ac:dyDescent="0.25">
      <c r="A14" s="31" t="s">
        <v>535</v>
      </c>
      <c r="B14" s="31" t="s">
        <v>529</v>
      </c>
      <c r="C14" s="31" t="s">
        <v>530</v>
      </c>
      <c r="D14" s="31" t="s">
        <v>531</v>
      </c>
      <c r="E14" s="42">
        <v>0.67500000000000004</v>
      </c>
      <c r="F14" s="42">
        <f t="shared" si="1"/>
        <v>0.67500000000000004</v>
      </c>
      <c r="G14" s="31" t="s">
        <v>544</v>
      </c>
      <c r="H14" s="31" t="s">
        <v>532</v>
      </c>
      <c r="I14" s="49" t="s">
        <v>643</v>
      </c>
      <c r="J14" s="31" t="s">
        <v>550</v>
      </c>
    </row>
    <row r="15" spans="1:10" ht="54" customHeight="1" x14ac:dyDescent="0.25">
      <c r="A15" s="31" t="s">
        <v>535</v>
      </c>
      <c r="B15" s="31" t="s">
        <v>533</v>
      </c>
      <c r="C15" s="31" t="s">
        <v>534</v>
      </c>
      <c r="D15" s="31" t="s">
        <v>531</v>
      </c>
      <c r="E15" s="42">
        <v>0.47</v>
      </c>
      <c r="F15" s="42">
        <f t="shared" si="1"/>
        <v>0.47</v>
      </c>
      <c r="G15" s="31" t="s">
        <v>560</v>
      </c>
      <c r="H15" s="31" t="s">
        <v>532</v>
      </c>
      <c r="I15" s="49" t="s">
        <v>643</v>
      </c>
      <c r="J15" s="31" t="s">
        <v>550</v>
      </c>
    </row>
    <row r="16" spans="1:10" ht="54" customHeight="1" x14ac:dyDescent="0.25">
      <c r="A16" s="31" t="s">
        <v>535</v>
      </c>
      <c r="B16" s="31" t="s">
        <v>84</v>
      </c>
      <c r="C16" s="31" t="s">
        <v>524</v>
      </c>
      <c r="D16" s="31" t="s">
        <v>531</v>
      </c>
      <c r="E16" s="42">
        <v>0.48</v>
      </c>
      <c r="F16" s="42">
        <f t="shared" si="1"/>
        <v>0.48</v>
      </c>
      <c r="G16" s="31" t="s">
        <v>587</v>
      </c>
      <c r="H16" s="31" t="s">
        <v>532</v>
      </c>
      <c r="I16" s="49" t="s">
        <v>643</v>
      </c>
      <c r="J16" s="31" t="s">
        <v>550</v>
      </c>
    </row>
    <row r="17" spans="1:10" ht="54" customHeight="1" x14ac:dyDescent="0.25">
      <c r="A17" s="31" t="s">
        <v>535</v>
      </c>
      <c r="B17" s="31" t="s">
        <v>91</v>
      </c>
      <c r="C17" s="31" t="s">
        <v>526</v>
      </c>
      <c r="D17" s="31" t="s">
        <v>531</v>
      </c>
      <c r="E17" s="42">
        <v>0.67</v>
      </c>
      <c r="F17" s="42">
        <f t="shared" si="1"/>
        <v>0.67</v>
      </c>
      <c r="G17" s="31" t="s">
        <v>595</v>
      </c>
      <c r="H17" s="31" t="s">
        <v>532</v>
      </c>
      <c r="I17" s="49" t="s">
        <v>643</v>
      </c>
      <c r="J17" s="31" t="s">
        <v>550</v>
      </c>
    </row>
    <row r="18" spans="1:10" ht="54" customHeight="1" x14ac:dyDescent="0.25">
      <c r="A18" s="31" t="s">
        <v>535</v>
      </c>
      <c r="B18" s="31" t="s">
        <v>98</v>
      </c>
      <c r="C18" s="31" t="s">
        <v>527</v>
      </c>
      <c r="D18" s="31" t="s">
        <v>531</v>
      </c>
      <c r="E18" s="42">
        <v>1.54</v>
      </c>
      <c r="F18" s="42">
        <f t="shared" si="1"/>
        <v>1.54</v>
      </c>
      <c r="G18" s="31" t="s">
        <v>603</v>
      </c>
      <c r="H18" s="31" t="s">
        <v>532</v>
      </c>
      <c r="I18" s="49" t="s">
        <v>643</v>
      </c>
      <c r="J18" s="31" t="s">
        <v>550</v>
      </c>
    </row>
    <row r="19" spans="1:10" ht="54" customHeight="1" x14ac:dyDescent="0.25">
      <c r="A19" s="40" t="s">
        <v>535</v>
      </c>
      <c r="B19" s="40" t="s">
        <v>537</v>
      </c>
      <c r="C19" s="40" t="s">
        <v>538</v>
      </c>
      <c r="D19" s="40" t="s">
        <v>531</v>
      </c>
      <c r="E19" s="43">
        <v>0.2</v>
      </c>
      <c r="F19" s="43">
        <f t="shared" si="1"/>
        <v>0.2</v>
      </c>
      <c r="G19" s="40" t="s">
        <v>611</v>
      </c>
      <c r="H19" s="40" t="s">
        <v>532</v>
      </c>
      <c r="I19" s="52" t="s">
        <v>643</v>
      </c>
      <c r="J19" s="40" t="s">
        <v>550</v>
      </c>
    </row>
  </sheetData>
  <mergeCells count="2">
    <mergeCell ref="A1:J1"/>
    <mergeCell ref="A2: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2"/>
  <sheetViews>
    <sheetView showGridLines="0" workbookViewId="0"/>
  </sheetViews>
  <sheetFormatPr defaultRowHeight="15" x14ac:dyDescent="0.25"/>
  <cols>
    <col min="1" max="1" width="36" customWidth="1"/>
    <col min="2" max="2" width="16" customWidth="1"/>
    <col min="3" max="3" width="14" customWidth="1"/>
    <col min="4" max="4" width="20" customWidth="1"/>
    <col min="5" max="5" width="21" customWidth="1"/>
  </cols>
  <sheetData>
    <row r="1" spans="1:5" ht="30" customHeight="1" x14ac:dyDescent="0.25">
      <c r="A1" s="89" t="s">
        <v>658</v>
      </c>
      <c r="B1" s="89"/>
      <c r="C1" s="89"/>
      <c r="D1" s="89"/>
      <c r="E1" s="89"/>
    </row>
    <row r="2" spans="1:5" ht="38.1" customHeight="1" x14ac:dyDescent="0.25">
      <c r="A2" s="90" t="s">
        <v>659</v>
      </c>
      <c r="B2" s="90"/>
      <c r="C2" s="90"/>
      <c r="D2" s="90"/>
      <c r="E2" s="90"/>
    </row>
    <row r="4" spans="1:5" ht="27.95" customHeight="1" x14ac:dyDescent="0.25">
      <c r="A4" s="53" t="s">
        <v>660</v>
      </c>
      <c r="B4" s="53" t="s">
        <v>661</v>
      </c>
      <c r="C4" s="12"/>
      <c r="D4" s="12"/>
      <c r="E4" s="12"/>
    </row>
    <row r="5" spans="1:5" ht="27.95" customHeight="1" x14ac:dyDescent="0.25">
      <c r="A5" s="54" t="s">
        <v>662</v>
      </c>
      <c r="B5" s="55">
        <v>163000000</v>
      </c>
      <c r="C5" s="12"/>
      <c r="D5" s="12"/>
      <c r="E5" s="12"/>
    </row>
    <row r="6" spans="1:5" ht="27.95" customHeight="1" x14ac:dyDescent="0.25">
      <c r="A6" s="56" t="s">
        <v>663</v>
      </c>
      <c r="B6" s="57">
        <v>279026800</v>
      </c>
      <c r="C6" s="12"/>
      <c r="D6" s="12"/>
      <c r="E6" s="12"/>
    </row>
    <row r="7" spans="1:5" ht="27.95" customHeight="1" x14ac:dyDescent="0.25">
      <c r="A7" s="56" t="s">
        <v>664</v>
      </c>
      <c r="B7" s="57">
        <v>0</v>
      </c>
      <c r="C7" s="12"/>
      <c r="D7" s="12"/>
      <c r="E7" s="12"/>
    </row>
    <row r="8" spans="1:5" ht="27.95" customHeight="1" x14ac:dyDescent="0.25">
      <c r="A8" s="56" t="s">
        <v>665</v>
      </c>
      <c r="B8" s="58">
        <f>B7/2</f>
        <v>0</v>
      </c>
      <c r="C8" s="12"/>
      <c r="D8" s="12"/>
      <c r="E8" s="12"/>
    </row>
    <row r="9" spans="1:5" ht="27.95" customHeight="1" x14ac:dyDescent="0.25">
      <c r="A9" s="56" t="s">
        <v>666</v>
      </c>
      <c r="B9" s="58">
        <f>B7/2</f>
        <v>0</v>
      </c>
      <c r="C9" s="12"/>
      <c r="D9" s="12"/>
      <c r="E9" s="12"/>
    </row>
    <row r="10" spans="1:5" ht="27.95" customHeight="1" x14ac:dyDescent="0.25">
      <c r="A10" s="56" t="s">
        <v>667</v>
      </c>
      <c r="B10" s="58">
        <f>B5+B8</f>
        <v>163000000</v>
      </c>
      <c r="C10" s="12"/>
      <c r="D10" s="12"/>
      <c r="E10" s="12"/>
    </row>
    <row r="11" spans="1:5" ht="27.95" customHeight="1" x14ac:dyDescent="0.25">
      <c r="A11" s="59" t="s">
        <v>668</v>
      </c>
      <c r="B11" s="60">
        <f>B6+B9</f>
        <v>279026800</v>
      </c>
      <c r="C11" s="12"/>
      <c r="D11" s="12"/>
      <c r="E11" s="12"/>
    </row>
    <row r="12" spans="1:5" ht="27.95" customHeight="1" x14ac:dyDescent="0.25">
      <c r="A12" s="12"/>
      <c r="B12" s="12"/>
      <c r="C12" s="12"/>
      <c r="D12" s="12"/>
      <c r="E12" s="12"/>
    </row>
    <row r="13" spans="1:5" ht="32.1" customHeight="1" x14ac:dyDescent="0.25">
      <c r="A13" s="91" t="s">
        <v>662</v>
      </c>
      <c r="B13" s="91"/>
      <c r="C13" s="91"/>
      <c r="D13" s="91"/>
      <c r="E13" s="91"/>
    </row>
    <row r="14" spans="1:5" ht="32.1" customHeight="1" x14ac:dyDescent="0.25">
      <c r="A14" s="53" t="s">
        <v>669</v>
      </c>
      <c r="B14" s="53" t="s">
        <v>536</v>
      </c>
      <c r="C14" s="53" t="s">
        <v>670</v>
      </c>
      <c r="D14" s="53" t="s">
        <v>616</v>
      </c>
      <c r="E14" s="53" t="s">
        <v>671</v>
      </c>
    </row>
    <row r="15" spans="1:5" ht="27.95" customHeight="1" x14ac:dyDescent="0.25">
      <c r="A15" s="54" t="s">
        <v>529</v>
      </c>
      <c r="B15" s="61">
        <v>36749</v>
      </c>
      <c r="C15" s="62">
        <f>'Weight Register'!F11</f>
        <v>0.67500000000000004</v>
      </c>
      <c r="D15" s="63">
        <f>B15*C15</f>
        <v>24805.575000000001</v>
      </c>
      <c r="E15" s="64">
        <f>D15*$D$18</f>
        <v>122862135.69015338</v>
      </c>
    </row>
    <row r="16" spans="1:5" ht="27.95" customHeight="1" x14ac:dyDescent="0.25">
      <c r="A16" s="56" t="s">
        <v>533</v>
      </c>
      <c r="B16" s="65">
        <v>17242</v>
      </c>
      <c r="C16" s="66">
        <f>'Weight Register'!F12</f>
        <v>0.47</v>
      </c>
      <c r="D16" s="67">
        <f>B16*C16</f>
        <v>8103.74</v>
      </c>
      <c r="E16" s="58">
        <f>D16*$D$18</f>
        <v>40137864.309846617</v>
      </c>
    </row>
    <row r="17" spans="1:5" ht="27.95" customHeight="1" x14ac:dyDescent="0.25">
      <c r="A17" s="68" t="s">
        <v>672</v>
      </c>
      <c r="B17" s="68"/>
      <c r="C17" s="68"/>
      <c r="D17" s="69">
        <f>SUM(D15:D16)</f>
        <v>32909.315000000002</v>
      </c>
      <c r="E17" s="70">
        <f>SUM(E15:E16)</f>
        <v>163000000</v>
      </c>
    </row>
    <row r="18" spans="1:5" ht="27.95" customHeight="1" x14ac:dyDescent="0.25">
      <c r="A18" s="71" t="s">
        <v>673</v>
      </c>
      <c r="B18" s="71"/>
      <c r="C18" s="71"/>
      <c r="D18" s="72">
        <f>B10/D17</f>
        <v>4953.004947079573</v>
      </c>
      <c r="E18" s="72"/>
    </row>
    <row r="19" spans="1:5" ht="27.95" customHeight="1" x14ac:dyDescent="0.25">
      <c r="A19" s="73" t="s">
        <v>674</v>
      </c>
      <c r="B19" s="73"/>
      <c r="C19" s="73"/>
      <c r="D19" s="73"/>
      <c r="E19" s="74">
        <f>ROUND(E17-B10,2)</f>
        <v>0</v>
      </c>
    </row>
    <row r="20" spans="1:5" ht="27.95" customHeight="1" x14ac:dyDescent="0.25">
      <c r="A20" s="12"/>
      <c r="B20" s="12"/>
      <c r="C20" s="12"/>
      <c r="D20" s="12"/>
      <c r="E20" s="12"/>
    </row>
    <row r="21" spans="1:5" ht="32.1" customHeight="1" x14ac:dyDescent="0.25">
      <c r="A21" s="91" t="s">
        <v>663</v>
      </c>
      <c r="B21" s="91"/>
      <c r="C21" s="91"/>
      <c r="D21" s="91"/>
      <c r="E21" s="91"/>
    </row>
    <row r="22" spans="1:5" ht="32.1" customHeight="1" x14ac:dyDescent="0.25">
      <c r="A22" s="53" t="s">
        <v>669</v>
      </c>
      <c r="B22" s="53" t="s">
        <v>536</v>
      </c>
      <c r="C22" s="53" t="s">
        <v>670</v>
      </c>
      <c r="D22" s="53" t="s">
        <v>616</v>
      </c>
      <c r="E22" s="53" t="s">
        <v>671</v>
      </c>
    </row>
    <row r="23" spans="1:5" ht="27.95" customHeight="1" x14ac:dyDescent="0.25">
      <c r="A23" s="54" t="s">
        <v>675</v>
      </c>
      <c r="B23" s="61">
        <v>141314</v>
      </c>
      <c r="C23" s="62">
        <f>'Weight Register'!F13</f>
        <v>0.2</v>
      </c>
      <c r="D23" s="63">
        <f t="shared" ref="D23:D29" si="0">B23*C23</f>
        <v>28262.800000000003</v>
      </c>
      <c r="E23" s="64">
        <f t="shared" ref="E23:E29" si="1">D23*$D$31</f>
        <v>91712575.040251777</v>
      </c>
    </row>
    <row r="24" spans="1:5" ht="27.95" customHeight="1" x14ac:dyDescent="0.25">
      <c r="A24" s="56" t="s">
        <v>529</v>
      </c>
      <c r="B24" s="65">
        <v>36749</v>
      </c>
      <c r="C24" s="66">
        <f>'Weight Register'!F14</f>
        <v>0.67500000000000004</v>
      </c>
      <c r="D24" s="67">
        <f t="shared" si="0"/>
        <v>24805.575000000001</v>
      </c>
      <c r="E24" s="58">
        <f t="shared" si="1"/>
        <v>80493905.720738679</v>
      </c>
    </row>
    <row r="25" spans="1:5" ht="27.95" customHeight="1" x14ac:dyDescent="0.25">
      <c r="A25" s="56" t="s">
        <v>533</v>
      </c>
      <c r="B25" s="65">
        <v>17242</v>
      </c>
      <c r="C25" s="66">
        <f>'Weight Register'!F15</f>
        <v>0.47</v>
      </c>
      <c r="D25" s="67">
        <f t="shared" si="0"/>
        <v>8103.74</v>
      </c>
      <c r="E25" s="58">
        <f t="shared" si="1"/>
        <v>26296575.811904337</v>
      </c>
    </row>
    <row r="26" spans="1:5" ht="27.95" customHeight="1" x14ac:dyDescent="0.25">
      <c r="A26" s="56" t="s">
        <v>676</v>
      </c>
      <c r="B26" s="65">
        <v>13944</v>
      </c>
      <c r="C26" s="66">
        <f>'Weight Register'!F16</f>
        <v>0.48</v>
      </c>
      <c r="D26" s="67">
        <f t="shared" si="0"/>
        <v>6693.12</v>
      </c>
      <c r="E26" s="58">
        <f t="shared" si="1"/>
        <v>21719124.441081915</v>
      </c>
    </row>
    <row r="27" spans="1:5" ht="27.95" customHeight="1" x14ac:dyDescent="0.25">
      <c r="A27" s="56" t="s">
        <v>677</v>
      </c>
      <c r="B27" s="65">
        <v>6933</v>
      </c>
      <c r="C27" s="66">
        <f>'Weight Register'!F17</f>
        <v>0.67</v>
      </c>
      <c r="D27" s="67">
        <f t="shared" si="0"/>
        <v>4645.1100000000006</v>
      </c>
      <c r="E27" s="58">
        <f t="shared" si="1"/>
        <v>15073347.277878482</v>
      </c>
    </row>
    <row r="28" spans="1:5" ht="27.95" customHeight="1" x14ac:dyDescent="0.25">
      <c r="A28" s="56" t="s">
        <v>678</v>
      </c>
      <c r="B28" s="65">
        <v>6381</v>
      </c>
      <c r="C28" s="66">
        <f>'Weight Register'!F18</f>
        <v>1.54</v>
      </c>
      <c r="D28" s="67">
        <f t="shared" si="0"/>
        <v>9826.74</v>
      </c>
      <c r="E28" s="58">
        <f t="shared" si="1"/>
        <v>31887697.951053809</v>
      </c>
    </row>
    <row r="29" spans="1:5" ht="27.95" customHeight="1" x14ac:dyDescent="0.25">
      <c r="A29" s="56" t="s">
        <v>537</v>
      </c>
      <c r="B29" s="65">
        <v>18249</v>
      </c>
      <c r="C29" s="66">
        <f>'Weight Register'!F19</f>
        <v>0.2</v>
      </c>
      <c r="D29" s="67">
        <f t="shared" si="0"/>
        <v>3649.8</v>
      </c>
      <c r="E29" s="58">
        <f t="shared" si="1"/>
        <v>11843573.757090978</v>
      </c>
    </row>
    <row r="30" spans="1:5" ht="27.95" customHeight="1" x14ac:dyDescent="0.25">
      <c r="A30" s="68" t="s">
        <v>672</v>
      </c>
      <c r="B30" s="68"/>
      <c r="C30" s="68"/>
      <c r="D30" s="69">
        <f>SUM(D23:D29)</f>
        <v>85986.885000000009</v>
      </c>
      <c r="E30" s="70">
        <f>SUM(E23:E29)</f>
        <v>279026799.99999994</v>
      </c>
    </row>
    <row r="31" spans="1:5" ht="27.95" customHeight="1" x14ac:dyDescent="0.25">
      <c r="A31" s="71" t="s">
        <v>673</v>
      </c>
      <c r="B31" s="71"/>
      <c r="C31" s="71"/>
      <c r="D31" s="72">
        <f>B11/D30</f>
        <v>3244.9925357803108</v>
      </c>
      <c r="E31" s="72"/>
    </row>
    <row r="32" spans="1:5" ht="27.95" customHeight="1" x14ac:dyDescent="0.25">
      <c r="A32" s="73" t="s">
        <v>674</v>
      </c>
      <c r="B32" s="73"/>
      <c r="C32" s="73"/>
      <c r="D32" s="73"/>
      <c r="E32" s="74">
        <f>ROUND(E30-B11,2)</f>
        <v>0</v>
      </c>
    </row>
  </sheetData>
  <mergeCells count="4">
    <mergeCell ref="A1:E1"/>
    <mergeCell ref="A2:E2"/>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Legend</vt:lpstr>
      <vt:lpstr>Rule Register</vt:lpstr>
      <vt:lpstr>Sheet1</vt:lpstr>
      <vt:lpstr>Formula Technical Reference</vt:lpstr>
      <vt:lpstr>New Rule Updates</vt:lpstr>
      <vt:lpstr>Weight Register</vt:lpstr>
      <vt:lpstr>FY25-26 State 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LuQiu ChuYi (Zoey)(Contractor)</cp:lastModifiedBy>
  <dcterms:modified xsi:type="dcterms:W3CDTF">2026-07-22T19:01:48Z</dcterms:modified>
</cp:coreProperties>
</file>